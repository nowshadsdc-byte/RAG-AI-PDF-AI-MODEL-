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Node js project\RAG\"/>
    </mc:Choice>
  </mc:AlternateContent>
  <bookViews>
    <workbookView xWindow="0" yWindow="0" windowWidth="28800" windowHeight="12210" tabRatio="500" activeTab="1"/>
  </bookViews>
  <sheets>
    <sheet name="Dashboard" sheetId="1" r:id="rId1"/>
    <sheet name="Tasks" sheetId="2" r:id="rId2"/>
    <sheet name="Eval Log" sheetId="3" r:id="rId3"/>
  </sheets>
  <definedNames>
    <definedName name="_xlnm._FilterDatabase" localSheetId="1" hidden="1">Tasks!$A$1:$L$57</definedName>
  </definedNames>
  <calcPr calcId="162913" iterateDelta="1E-4" calcMode="auto" fullCalcOnLoad="1" forceFullCalc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6" i="3" l="1"/>
  <c r="O5" i="3"/>
  <c r="O4" i="3"/>
  <c r="O3" i="3"/>
  <c r="O2" i="3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H29" i="1"/>
  <c r="G29" i="1"/>
  <c r="E29" i="1"/>
  <c r="F29" i="1" s="1"/>
  <c r="D29" i="1"/>
  <c r="H28" i="1"/>
  <c r="G28" i="1"/>
  <c r="E28" i="1"/>
  <c r="F28" i="1" s="1"/>
  <c r="D28" i="1"/>
  <c r="H27" i="1"/>
  <c r="G27" i="1"/>
  <c r="E27" i="1"/>
  <c r="F27" i="1" s="1"/>
  <c r="D27" i="1"/>
  <c r="H26" i="1"/>
  <c r="G26" i="1"/>
  <c r="E26" i="1"/>
  <c r="F26" i="1" s="1"/>
  <c r="D26" i="1"/>
  <c r="H25" i="1"/>
  <c r="G25" i="1"/>
  <c r="E25" i="1"/>
  <c r="F25" i="1" s="1"/>
  <c r="D25" i="1"/>
  <c r="H24" i="1"/>
  <c r="G24" i="1"/>
  <c r="E24" i="1"/>
  <c r="F24" i="1" s="1"/>
  <c r="D24" i="1"/>
  <c r="H23" i="1"/>
  <c r="G23" i="1"/>
  <c r="E23" i="1"/>
  <c r="F23" i="1" s="1"/>
  <c r="D23" i="1"/>
  <c r="H22" i="1"/>
  <c r="G22" i="1"/>
  <c r="E22" i="1"/>
  <c r="F22" i="1" s="1"/>
  <c r="D22" i="1"/>
  <c r="C17" i="1"/>
  <c r="C16" i="1"/>
  <c r="C15" i="1"/>
  <c r="C14" i="1"/>
  <c r="C13" i="1"/>
  <c r="C11" i="1"/>
  <c r="C10" i="1"/>
  <c r="C9" i="1"/>
  <c r="C8" i="1"/>
  <c r="C12" i="1" l="1"/>
</calcChain>
</file>

<file path=xl/sharedStrings.xml><?xml version="1.0" encoding="utf-8"?>
<sst xmlns="http://schemas.openxmlformats.org/spreadsheetml/2006/main" count="413" uniqueCount="287">
  <si>
    <t>RAG Chat-with-PDF — Project Plan</t>
  </si>
  <si>
    <t>8 weeks · 1 hour/day · 56 tasks · Owner: Sirajul Salekin Nowshad</t>
  </si>
  <si>
    <t>Start date</t>
  </si>
  <si>
    <t>← edit this; all task dates update</t>
  </si>
  <si>
    <t>Summary</t>
  </si>
  <si>
    <t>Total tasks</t>
  </si>
  <si>
    <t>Done</t>
  </si>
  <si>
    <t>In progress</t>
  </si>
  <si>
    <t>Blocked</t>
  </si>
  <si>
    <t>% complete</t>
  </si>
  <si>
    <t>Hours planned</t>
  </si>
  <si>
    <t>Hours logged</t>
  </si>
  <si>
    <t>Planned finish</t>
  </si>
  <si>
    <t>Today's task</t>
  </si>
  <si>
    <t>Next not-done task</t>
  </si>
  <si>
    <t>Progress by week</t>
  </si>
  <si>
    <t>Week</t>
  </si>
  <si>
    <t>Phase</t>
  </si>
  <si>
    <t>Tasks</t>
  </si>
  <si>
    <t>% Done</t>
  </si>
  <si>
    <t>Hrs logged</t>
  </si>
  <si>
    <t>Week starts</t>
  </si>
  <si>
    <t>Setup</t>
  </si>
  <si>
    <t>Extraction &amp; Chunking</t>
  </si>
  <si>
    <t>Indexing &amp; Retrieval</t>
  </si>
  <si>
    <t>LLM &amp; UI Shell</t>
  </si>
  <si>
    <t>Web UI &amp; Chat</t>
  </si>
  <si>
    <t>Auth &amp; Privacy</t>
  </si>
  <si>
    <t>History &amp; Providers</t>
  </si>
  <si>
    <t>Evaluation &amp; Deploy</t>
  </si>
  <si>
    <t>How to use</t>
  </si>
  <si>
    <t>1. Set the Start date (yellow cell) — every task date recalculates.</t>
  </si>
  <si>
    <t>2. Each day, open the Tasks sheet, do that day's task, then set Status (dropdown) and log Actual hrs.</t>
  </si>
  <si>
    <t>3. Editable cells on Tasks: Status, Actual hrs, Notes (light-yellow columns). Everything else is the plan.</t>
  </si>
  <si>
    <t>4. Buffer days (every 7th day) are for catching up — don't plan new work on them.</t>
  </si>
  <si>
    <t>5. Record retrieval / accuracy tests in the Eval Log sheet — it becomes your evaluation chapter.</t>
  </si>
  <si>
    <t>ID</t>
  </si>
  <si>
    <t>Day</t>
  </si>
  <si>
    <t>Date</t>
  </si>
  <si>
    <t>Task</t>
  </si>
  <si>
    <t>Steps</t>
  </si>
  <si>
    <t>Done when</t>
  </si>
  <si>
    <t>Est. hrs</t>
  </si>
  <si>
    <t>Status</t>
  </si>
  <si>
    <t>Actual hrs</t>
  </si>
  <si>
    <t>Notes</t>
  </si>
  <si>
    <t>T01</t>
  </si>
  <si>
    <t>Install dev tools</t>
  </si>
  <si>
    <t>Install Node.js LTS, Git, Docker Desktop, VS Code. Run node -v, git --version, docker --version.</t>
  </si>
  <si>
    <t>All 4 tools report a version</t>
  </si>
  <si>
    <t>Not Started</t>
  </si>
  <si>
    <t>T02</t>
  </si>
  <si>
    <t>Create Next.js project</t>
  </si>
  <si>
    <t>npx create-next-app (TypeScript, Tailwind, App Router, src/). Create GitHub repo, first push.</t>
  </si>
  <si>
    <t>App runs on localhost:3000 and is on GitHub</t>
  </si>
  <si>
    <t>T03</t>
  </si>
  <si>
    <t>Postgres + pgvector in Docker</t>
  </si>
  <si>
    <t>docker-compose.yml with pgvector/pgvector:pg16 + volume. docker compose up. Run CREATE EXTENSION vector;</t>
  </si>
  <si>
    <t>Extension shows in \dx</t>
  </si>
  <si>
    <t>T04</t>
  </si>
  <si>
    <t>Set up Drizzle ORM</t>
  </si>
  <si>
    <t>Install drizzle-orm, drizzle-kit, postgres driver. DATABASE_URL in .env (add .env to .gitignore).</t>
  </si>
  <si>
    <t>drizzle-kit connects without error</t>
  </si>
  <si>
    <t>T05</t>
  </si>
  <si>
    <t>Define database schema</t>
  </si>
  <si>
    <t>Tables: users, documents, document_chunks (embedding vector(768)), conversations, messages. Run migration.</t>
  </si>
  <si>
    <t>5 tables exist in database</t>
  </si>
  <si>
    <t>T06</t>
  </si>
  <si>
    <t>Gemini API test</t>
  </si>
  <si>
    <t>Get API key from Google AI Studio, store in .env. Script sends 'hello' and prints reply.</t>
  </si>
  <si>
    <t>Script prints Gemini reply</t>
  </si>
  <si>
    <t>T07</t>
  </si>
  <si>
    <t>Buffer / review</t>
  </si>
  <si>
    <t>Catch up on unfinished tasks. Clean code, update TODO.md, commit.</t>
  </si>
  <si>
    <t>Week 1 complete &amp; committed</t>
  </si>
  <si>
    <t>T08</t>
  </si>
  <si>
    <t>PDF text extraction</t>
  </si>
  <si>
    <t>Install unpdf. Write lib/extract.ts returning [{page, text}].</t>
  </si>
  <si>
    <t>Prints text per page for 1 PDF</t>
  </si>
  <si>
    <t>T09</t>
  </si>
  <si>
    <t>Test extraction on 3 PDFs</t>
  </si>
  <si>
    <t>Try lecture notes, research paper, scanned PDF. Detect empty pages / no-text PDFs.</t>
  </si>
  <si>
    <t>Scanned PDF flagged as 'no text'</t>
  </si>
  <si>
    <t>T10</t>
  </si>
  <si>
    <t>Text cleaning</t>
  </si>
  <si>
    <t>Normalise whitespace, fix hyphenated line breaks, drop page headers/footers if simple.</t>
  </si>
  <si>
    <t>Clean output on all 3 test PDFs</t>
  </si>
  <si>
    <t>T11</t>
  </si>
  <si>
    <t>Chunker</t>
  </si>
  <si>
    <t>lib/chunk.ts: ~600 tokens, 80 overlap, each chunk keeps page_number + chunk_index.</t>
  </si>
  <si>
    <t>Chunks print with page numbers</t>
  </si>
  <si>
    <t>T12</t>
  </si>
  <si>
    <t>Test chunker</t>
  </si>
  <si>
    <t>Small test with known text; log chunk count per PDF.</t>
  </si>
  <si>
    <t>Chunk counts look sensible</t>
  </si>
  <si>
    <t>T13</t>
  </si>
  <si>
    <t>Embedding function</t>
  </si>
  <si>
    <t>lib/embed.ts using Gemini embedding model at 768 dims. Batch requests, handle rate limits.</t>
  </si>
  <si>
    <t>Returns 768-length vectors</t>
  </si>
  <si>
    <t>T14</t>
  </si>
  <si>
    <t>Catch up, refactor, commit.</t>
  </si>
  <si>
    <t>Week 2 complete &amp; committed</t>
  </si>
  <si>
    <t>T15</t>
  </si>
  <si>
    <t>Ingestion script</t>
  </si>
  <si>
    <t>scripts/ingest.ts: extract → chunk → embed → insert into documents + document_chunks.</t>
  </si>
  <si>
    <t>Chunks with vectors stored in DB</t>
  </si>
  <si>
    <t>T16</t>
  </si>
  <si>
    <t>HNSW index</t>
  </si>
  <si>
    <t>Add HNSW index (vector_cosine_ops) on embedding. Verify with EXPLAIN.</t>
  </si>
  <si>
    <t>Index used in query plan</t>
  </si>
  <si>
    <t>T17</t>
  </si>
  <si>
    <t>Similarity search</t>
  </si>
  <si>
    <t>lib/search.ts: embed question, return top-5 chunks by cosine distance with page numbers.</t>
  </si>
  <si>
    <t>Terminal shows top-5 chunks + pages</t>
  </si>
  <si>
    <t>T18</t>
  </si>
  <si>
    <t>Retrieval test (10 questions)</t>
  </si>
  <si>
    <t>Write 10 questions for a known PDF. Log in Eval Log sheet whether correct page is in top-5.</t>
  </si>
  <si>
    <t>10 rows in Eval Log</t>
  </si>
  <si>
    <t>T19</t>
  </si>
  <si>
    <t>Tune chunk size / top-k</t>
  </si>
  <si>
    <t>Try 400 vs 600 vs 800 tokens and k=3/5. Record hit rate.</t>
  </si>
  <si>
    <t>Best settings chosen &amp; noted</t>
  </si>
  <si>
    <t>T20</t>
  </si>
  <si>
    <t>Grounded prompt design</t>
  </si>
  <si>
    <t>System prompt: answer ONLY from passages, cite [doc, p.X], say 'not found' if missing.</t>
  </si>
  <si>
    <t>Prompt saved in lib/prompts.ts</t>
  </si>
  <si>
    <t>T21</t>
  </si>
  <si>
    <t>Catch up, commit.</t>
  </si>
  <si>
    <t>Week 3 complete &amp; committed</t>
  </si>
  <si>
    <t>T22</t>
  </si>
  <si>
    <t>AI provider adapter</t>
  </si>
  <si>
    <t>lib/ai/: generateAnswer() interface + Gemini implementation.</t>
  </si>
  <si>
    <t>Adapter returns an answer</t>
  </si>
  <si>
    <t>T23</t>
  </si>
  <si>
    <t>CLI question answering</t>
  </si>
  <si>
    <t>scripts/ask.ts: question → search → prompt → answer with citations.</t>
  </si>
  <si>
    <t>Cited answer in terminal</t>
  </si>
  <si>
    <t>T24</t>
  </si>
  <si>
    <t>Test 'not found' fallback</t>
  </si>
  <si>
    <t>Ask 5 off-topic questions; model must refuse rather than invent.</t>
  </si>
  <si>
    <t>5/5 return 'not found'</t>
  </si>
  <si>
    <t>T25</t>
  </si>
  <si>
    <t>Structured citations</t>
  </si>
  <si>
    <t>Parse/return citations as {documentId, page} alongside answer text.</t>
  </si>
  <si>
    <t>JSON with answer + citations</t>
  </si>
  <si>
    <t>T26</t>
  </si>
  <si>
    <t>UI shell with shadcn/ui</t>
  </si>
  <si>
    <t>Init shadcn/ui. Dashboard layout: sidebar + main area.</t>
  </si>
  <si>
    <t>Layout renders</t>
  </si>
  <si>
    <t>T27</t>
  </si>
  <si>
    <t>Upload API route</t>
  </si>
  <si>
    <t>Validate PDF type &amp; size; save to ./storage/documents/&lt;uuid&gt;.pdf (outside /public).</t>
  </si>
  <si>
    <t>File saved with generated ID</t>
  </si>
  <si>
    <t>T28</t>
  </si>
  <si>
    <t>Week 4 complete &amp; committed</t>
  </si>
  <si>
    <t>T29</t>
  </si>
  <si>
    <t>Ingest on upload</t>
  </si>
  <si>
    <t>Run ingestion after upload; status = processing / ready / failed.</t>
  </si>
  <si>
    <t>Status updates in DB</t>
  </si>
  <si>
    <t>T30</t>
  </si>
  <si>
    <t>Documents list page</t>
  </si>
  <si>
    <t>Show user's PDFs with name, pages, status, date.</t>
  </si>
  <si>
    <t>List shows uploaded PDFs</t>
  </si>
  <si>
    <t>T31</t>
  </si>
  <si>
    <t>Chat API route</t>
  </si>
  <si>
    <t>POST /api/chat → search + generateAnswer. Select one doc or collection.</t>
  </si>
  <si>
    <t>API returns answer + citations</t>
  </si>
  <si>
    <t>T32</t>
  </si>
  <si>
    <t>Chat UI</t>
  </si>
  <si>
    <t>Message list, input box, loading state, error message.</t>
  </si>
  <si>
    <t>Chat with a PDF in browser</t>
  </si>
  <si>
    <t>T33</t>
  </si>
  <si>
    <t>Clickable citations</t>
  </si>
  <si>
    <t>Citation chips open PDF at page (#page=N) via protected file route.</t>
  </si>
  <si>
    <t>Click opens correct page</t>
  </si>
  <si>
    <t>T34</t>
  </si>
  <si>
    <t>Streaming responses</t>
  </si>
  <si>
    <t>Stream tokens to UI if feasible (skip if it eats time).</t>
  </si>
  <si>
    <t>Answer appears progressively</t>
  </si>
  <si>
    <t>T35</t>
  </si>
  <si>
    <t>Catch up, commit. First full demo to yourself.</t>
  </si>
  <si>
    <t>Week 5 complete &amp; committed</t>
  </si>
  <si>
    <t>T36</t>
  </si>
  <si>
    <t>Authentication</t>
  </si>
  <si>
    <t>Auth.js credentials provider, bcrypt-hashed passwords, register + login pages.</t>
  </si>
  <si>
    <t>Can register &amp; log in</t>
  </si>
  <si>
    <t>T37</t>
  </si>
  <si>
    <t>Protect routes</t>
  </si>
  <si>
    <t>Middleware for pages + session checks in API routes.</t>
  </si>
  <si>
    <t>Logged-out user redirected</t>
  </si>
  <si>
    <t>T38</t>
  </si>
  <si>
    <t>Scope data by user</t>
  </si>
  <si>
    <t>Every query filters by user_id: documents, search, conversations.</t>
  </si>
  <si>
    <t>Search only hits own chunks</t>
  </si>
  <si>
    <t>T39</t>
  </si>
  <si>
    <t>Secure file serving</t>
  </si>
  <si>
    <t>File route checks ownership before streaming the PDF.</t>
  </si>
  <si>
    <t>Other user's file returns 403</t>
  </si>
  <si>
    <t>T40</t>
  </si>
  <si>
    <t>Privacy test</t>
  </si>
  <si>
    <t>Create users A &amp; B; try to access each other's docs, chats, citations.</t>
  </si>
  <si>
    <t>All cross-access attempts fail</t>
  </si>
  <si>
    <t>T41</t>
  </si>
  <si>
    <t>Delete document</t>
  </si>
  <si>
    <t>Delete file from disk + chunks/embeddings (ON DELETE CASCADE).</t>
  </si>
  <si>
    <t>No orphan chunks remain</t>
  </si>
  <si>
    <t>T42</t>
  </si>
  <si>
    <t>Week 6 complete &amp; committed</t>
  </si>
  <si>
    <t>T43</t>
  </si>
  <si>
    <t>Conversation history</t>
  </si>
  <si>
    <t>Save conversations &amp; messages; sidebar list; reopen old chats.</t>
  </si>
  <si>
    <t>Old chat reloads</t>
  </si>
  <si>
    <t>T44</t>
  </si>
  <si>
    <t>Follow-up questions</t>
  </si>
  <si>
    <t>Include last few messages as context (optionally rewrite query).</t>
  </si>
  <si>
    <t>Follow-up 'what about X?' works</t>
  </si>
  <si>
    <t>T45</t>
  </si>
  <si>
    <t>Document summary</t>
  </si>
  <si>
    <t>Summary button: summarise doc from its chunks (map-reduce if long).</t>
  </si>
  <si>
    <t>Summary shown for a doc</t>
  </si>
  <si>
    <t>T46</t>
  </si>
  <si>
    <t>Error handling</t>
  </si>
  <si>
    <t>Invalid files, empty PDFs, provider failure, timeouts → friendly messages.</t>
  </si>
  <si>
    <t>No unhandled crashes</t>
  </si>
  <si>
    <t>T47</t>
  </si>
  <si>
    <t>Qwen 2.5 via Ollama</t>
  </si>
  <si>
    <t>Install Ollama, pull qwen2.5, set num_ctx ≥ 8192. Add Ollama adapter.</t>
  </si>
  <si>
    <t>Answer generated locally</t>
  </si>
  <si>
    <t>T48</t>
  </si>
  <si>
    <t>Provider settings screen</t>
  </si>
  <si>
    <t>Admin/settings page to choose active provider; test switching end-to-end.</t>
  </si>
  <si>
    <t>Switching works without code change</t>
  </si>
  <si>
    <t>T49</t>
  </si>
  <si>
    <t>Catch up, commit. MVP feature-complete.</t>
  </si>
  <si>
    <t>Week 7 complete &amp; committed</t>
  </si>
  <si>
    <t>T50</t>
  </si>
  <si>
    <t>Build evaluation set</t>
  </si>
  <si>
    <t>20–30 questions with known answer pages across 3–5 PDFs (Eval Log sheet).</t>
  </si>
  <si>
    <t>Test set ready</t>
  </si>
  <si>
    <t>T51</t>
  </si>
  <si>
    <t>Run accuracy evaluation</t>
  </si>
  <si>
    <t>Citation correctness %, 'not found' correctness, faithfulness check.</t>
  </si>
  <si>
    <t>Target: ≥ 90% correct citations</t>
  </si>
  <si>
    <t>T52</t>
  </si>
  <si>
    <t>Latency measurements</t>
  </si>
  <si>
    <t>Record indexing time per PDF and median response time per provider.</t>
  </si>
  <si>
    <t>Target: median ≤ 5 s</t>
  </si>
  <si>
    <t>T53</t>
  </si>
  <si>
    <t>Dockerise the app</t>
  </si>
  <si>
    <t>Dockerfile for Next.js; full docker-compose (app + db + storage volume).</t>
  </si>
  <si>
    <t>docker compose up runs everything</t>
  </si>
  <si>
    <t>T54</t>
  </si>
  <si>
    <t>Fresh-machine test + README</t>
  </si>
  <si>
    <t>Clone on clean folder/PC, follow README, fix gaps.</t>
  </si>
  <si>
    <t>Works from README alone</t>
  </si>
  <si>
    <t>T55</t>
  </si>
  <si>
    <t>Report material</t>
  </si>
  <si>
    <t>Screenshots, architecture diagram, results tables, demo script.</t>
  </si>
  <si>
    <t>Assets ready for report</t>
  </si>
  <si>
    <t>T56</t>
  </si>
  <si>
    <t>Final review &amp; demo rehearsal</t>
  </si>
  <si>
    <t>Tag v1.0 on GitHub, rehearse demo, send to supervisor.</t>
  </si>
  <si>
    <t>Demo-ready 🎯</t>
  </si>
  <si>
    <t>#</t>
  </si>
  <si>
    <t>PDF</t>
  </si>
  <si>
    <t>Question</t>
  </si>
  <si>
    <t>Expected page</t>
  </si>
  <si>
    <t>Top-5 pages returned</t>
  </si>
  <si>
    <t>Correct page in top-5?</t>
  </si>
  <si>
    <t>Answer cited correct page?</t>
  </si>
  <si>
    <t>Faithful (no invented facts)?</t>
  </si>
  <si>
    <t>Provider</t>
  </si>
  <si>
    <t>Response time (s)</t>
  </si>
  <si>
    <t>Results summary</t>
  </si>
  <si>
    <t>Value</t>
  </si>
  <si>
    <t>lecture-notes.pdf</t>
  </si>
  <si>
    <t>What is normalization in databases?</t>
  </si>
  <si>
    <t>12, 13, 4, 30, 11</t>
  </si>
  <si>
    <t>Yes</t>
  </si>
  <si>
    <t>Gemini</t>
  </si>
  <si>
    <t>Example row — replace with real tests</t>
  </si>
  <si>
    <t>Tests run</t>
  </si>
  <si>
    <t>Retrieval hit rate</t>
  </si>
  <si>
    <t>Citation correctness (target ≥ 90%)</t>
  </si>
  <si>
    <t>Faithfulness</t>
  </si>
  <si>
    <t>Median response time (s) (target ≤ 5)</t>
  </si>
  <si>
    <t>Row 2 is an example (blue) — overwrite it with your first real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</si>
</sst>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d&quot;, &quot;dd\ mmm\ yyyy"/>
    <numFmt numFmtId="165" formatCode="0.0"/>
    <numFmt numFmtId="166" formatCode="dd\ mmm"/>
    <numFmt numFmtId="167" formatCode="ddd\ dd\ mmm"/>
  </numFmts>
  <fonts count="16" x14ac:knownFonts="1">
    <font>
      <sz val="11"/>
      <color theme="1"/>
      <name val="Calibri"/>
      <family val="2"/>
      <charset val="1"/>
    </font>
    <font>
      <b/>
      <sz val="18"/>
      <color rgb="FF1F3A5F"/>
      <name val="Arial"/>
      <charset val="1"/>
    </font>
    <font>
      <i/>
      <sz val="10"/>
      <color rgb="FF666666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i/>
      <sz val="9"/>
      <color rgb="FF666666"/>
      <name val="Arial"/>
      <charset val="1"/>
    </font>
    <font>
      <b/>
      <sz val="12"/>
      <color rgb="FF1F3A5F"/>
      <name val="Arial"/>
      <charset val="1"/>
    </font>
    <font>
      <sz val="11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i/>
      <sz val="10"/>
      <color rgb="FF888888"/>
      <name val="Arial"/>
      <charset val="1"/>
    </font>
    <font>
      <i/>
      <sz val="10"/>
      <color rgb="FF888888"/>
      <name val="Arial"/>
      <charset val="1"/>
    </font>
    <font>
      <i/>
      <sz val="10"/>
      <color rgb="FF0000F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F3F8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FFF9DB"/>
        <bgColor rgb="FFFFFFFF"/>
      </patternFill>
    </fill>
  </fills>
  <borders count="2">
    <border>
      <left/>
      <right/>
      <top/>
      <bottom/>
      <diagonal/>
    </border>
    <border>
      <left style="thin">
        <color rgb="FFD0D7E1"/>
      </left>
      <right style="thin">
        <color rgb="FFD0D7E1"/>
      </right>
      <top style="thin">
        <color rgb="FFD0D7E1"/>
      </top>
      <bottom style="thin">
        <color rgb="FFD0D7E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2" borderId="1" xfId="0" applyNumberFormat="1" applyFont="1" applyFill="1" applyBorder="1"/>
    <xf numFmtId="0" fontId="5" fillId="0" borderId="0" xfId="0" applyFont="1"/>
    <xf numFmtId="0" fontId="6" fillId="0" borderId="0" xfId="0" applyFont="1"/>
    <xf numFmtId="0" fontId="3" fillId="3" borderId="1" xfId="0" applyFont="1" applyFill="1" applyBorder="1"/>
    <xf numFmtId="1" fontId="7" fillId="3" borderId="1" xfId="0" applyNumberFormat="1" applyFont="1" applyFill="1" applyBorder="1"/>
    <xf numFmtId="9" fontId="7" fillId="3" borderId="1" xfId="0" applyNumberFormat="1" applyFont="1" applyFill="1" applyBorder="1"/>
    <xf numFmtId="165" fontId="7" fillId="3" borderId="1" xfId="0" applyNumberFormat="1" applyFont="1" applyFill="1" applyBorder="1"/>
    <xf numFmtId="164" fontId="7" fillId="3" borderId="1" xfId="0" applyNumberFormat="1" applyFont="1" applyFill="1" applyBorder="1"/>
    <xf numFmtId="49" fontId="7" fillId="3" borderId="1" xfId="0" applyNumberFormat="1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9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9" fontId="7" fillId="3" borderId="1" xfId="0" applyNumberFormat="1" applyFont="1" applyFill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center" vertical="top"/>
    </xf>
    <xf numFmtId="167" fontId="10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top"/>
    </xf>
    <xf numFmtId="165" fontId="10" fillId="5" borderId="1" xfId="0" applyNumberFormat="1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/>
    </xf>
    <xf numFmtId="167" fontId="12" fillId="0" borderId="1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2" fillId="5" borderId="1" xfId="0" applyFont="1" applyFill="1" applyBorder="1" applyAlignment="1">
      <alignment horizontal="center" vertical="top"/>
    </xf>
    <xf numFmtId="165" fontId="12" fillId="5" borderId="1" xfId="0" applyNumberFormat="1" applyFont="1" applyFill="1" applyBorder="1" applyAlignment="1">
      <alignment horizontal="center" vertical="top"/>
    </xf>
    <xf numFmtId="0" fontId="12" fillId="5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top"/>
    </xf>
    <xf numFmtId="167" fontId="10" fillId="3" borderId="1" xfId="0" applyNumberFormat="1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top"/>
    </xf>
    <xf numFmtId="167" fontId="12" fillId="3" borderId="1" xfId="0" applyNumberFormat="1" applyFont="1" applyFill="1" applyBorder="1" applyAlignment="1">
      <alignment horizontal="center" vertical="top"/>
    </xf>
    <xf numFmtId="0" fontId="12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/>
    </xf>
    <xf numFmtId="166" fontId="15" fillId="0" borderId="1" xfId="0" applyNumberFormat="1" applyFont="1" applyBorder="1" applyAlignment="1">
      <alignment horizontal="center" vertical="top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1" fontId="7" fillId="0" borderId="1" xfId="0" applyNumberFormat="1" applyFont="1" applyBorder="1"/>
    <xf numFmtId="0" fontId="9" fillId="0" borderId="1" xfId="0" applyFont="1" applyBorder="1" applyAlignment="1">
      <alignment horizontal="center" vertical="top"/>
    </xf>
    <xf numFmtId="166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9" fontId="7" fillId="0" borderId="1" xfId="0" applyNumberFormat="1" applyFont="1" applyBorder="1"/>
    <xf numFmtId="165" fontId="7" fillId="0" borderId="1" xfId="0" applyNumberFormat="1" applyFont="1" applyBorder="1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b/>
        <name val="Arial"/>
      </font>
      <fill>
        <patternFill>
          <bgColor rgb="FFBDD7EE"/>
        </patternFill>
      </fill>
    </dxf>
    <dxf>
      <font>
        <strike/>
        <color rgb="FF7F7F7F"/>
        <name val="Arial"/>
      </font>
    </dxf>
    <dxf>
      <font>
        <b/>
        <color rgb="FF9C0006"/>
        <name val="Arial"/>
      </font>
      <fill>
        <patternFill>
          <bgColor rgb="FFFFC7CE"/>
        </patternFill>
      </fill>
    </dxf>
    <dxf>
      <font>
        <b/>
        <color rgb="FF9C5700"/>
        <name val="Arial"/>
      </font>
      <fill>
        <patternFill>
          <bgColor rgb="FFFFEB9C"/>
        </patternFill>
      </fill>
    </dxf>
    <dxf>
      <font>
        <b/>
        <color rgb="FF006100"/>
        <name val="Arial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0D7E1"/>
      <rgbColor rgb="FF7F7F7F"/>
      <rgbColor rgb="FF9999FF"/>
      <rgbColor rgb="FF993366"/>
      <rgbColor rgb="FFFFF9DB"/>
      <rgbColor rgb="FFEEF3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888888"/>
      <rgbColor rgb="FF1F3A5F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7"/>
  <sheetViews>
    <sheetView showGridLines="0" topLeftCell="A4" zoomScaleNormal="100" workbookViewId="0"/>
  </sheetViews>
  <sheetFormatPr defaultColWidth="8.7109375" defaultRowHeight="15" x14ac:dyDescent="0.25"/>
  <cols>
    <col min="1" max="1" width="2" customWidth="1"/>
    <col min="2" max="2" width="22" customWidth="1"/>
    <col min="3" max="3" width="34" customWidth="1"/>
    <col min="4" max="5" width="10" customWidth="1"/>
    <col min="6" max="7" width="12" customWidth="1"/>
    <col min="8" max="8" width="14" customWidth="1"/>
  </cols>
  <sheetData>
    <row r="2" spans="2:4" ht="23.25" x14ac:dyDescent="0.35">
      <c r="B2" s="1" t="s">
        <v>0</v>
      </c>
    </row>
    <row r="3" spans="2:4" x14ac:dyDescent="0.25">
      <c r="B3" s="2" t="s">
        <v>1</v>
      </c>
    </row>
    <row r="5" spans="2:4" x14ac:dyDescent="0.25">
      <c r="B5" s="3" t="s">
        <v>2</v>
      </c>
      <c r="C5" s="4">
        <v>46320</v>
      </c>
      <c r="D5" s="5" t="s">
        <v>3</v>
      </c>
    </row>
    <row r="7" spans="2:4" ht="15.75" x14ac:dyDescent="0.25">
      <c r="B7" s="6" t="s">
        <v>4</v>
      </c>
    </row>
    <row r="8" spans="2:4" x14ac:dyDescent="0.25">
      <c r="B8" s="7" t="s">
        <v>5</v>
      </c>
      <c r="C8" s="8">
        <f>COUNTA(Tasks!F2:F57)</f>
        <v>56</v>
      </c>
    </row>
    <row r="9" spans="2:4" x14ac:dyDescent="0.25">
      <c r="B9" s="7" t="s">
        <v>6</v>
      </c>
      <c r="C9" s="8">
        <f>COUNTIF(Tasks!J2:J57,"Done")</f>
        <v>28</v>
      </c>
    </row>
    <row r="10" spans="2:4" x14ac:dyDescent="0.25">
      <c r="B10" s="7" t="s">
        <v>7</v>
      </c>
      <c r="C10" s="8">
        <f>COUNTIF(Tasks!J2:J57,"In Progress")</f>
        <v>9</v>
      </c>
    </row>
    <row r="11" spans="2:4" x14ac:dyDescent="0.25">
      <c r="B11" s="7" t="s">
        <v>8</v>
      </c>
      <c r="C11" s="8">
        <f>COUNTIF(Tasks!J2:J57,"Blocked")</f>
        <v>0</v>
      </c>
    </row>
    <row r="12" spans="2:4" x14ac:dyDescent="0.25">
      <c r="B12" s="7" t="s">
        <v>9</v>
      </c>
      <c r="C12" s="9">
        <f>IFERROR(C9/C8,0)</f>
        <v>0.5</v>
      </c>
    </row>
    <row r="13" spans="2:4" x14ac:dyDescent="0.25">
      <c r="B13" s="7" t="s">
        <v>10</v>
      </c>
      <c r="C13" s="10">
        <f>SUM(Tasks!I2:I57)</f>
        <v>56</v>
      </c>
    </row>
    <row r="14" spans="2:4" x14ac:dyDescent="0.25">
      <c r="B14" s="7" t="s">
        <v>11</v>
      </c>
      <c r="C14" s="10">
        <f>SUM(Tasks!K2:K57)</f>
        <v>0</v>
      </c>
    </row>
    <row r="15" spans="2:4" x14ac:dyDescent="0.25">
      <c r="B15" s="7" t="s">
        <v>12</v>
      </c>
      <c r="C15" s="11">
        <f>MAX(Tasks!D2:D57)</f>
        <v>46375</v>
      </c>
    </row>
    <row r="16" spans="2:4" x14ac:dyDescent="0.25">
      <c r="B16" s="7" t="s">
        <v>13</v>
      </c>
      <c r="C16" s="12" t="str">
        <f ca="1">IFERROR(INDEX(Tasks!F2:F57,MATCH(TODAY(),Tasks!D2:D57,0)),"— outside plan dates —")</f>
        <v>Install dev tools</v>
      </c>
    </row>
    <row r="17" spans="2:8" x14ac:dyDescent="0.25">
      <c r="B17" s="7" t="s">
        <v>14</v>
      </c>
      <c r="C17" s="12" t="str">
        <f>IFERROR(INDEX(Tasks!F2:F57,MATCH("Not Started",Tasks!J2:J57,0)),"All done!")</f>
        <v>Tune chunk size / top-k</v>
      </c>
    </row>
    <row r="20" spans="2:8" ht="15.75" x14ac:dyDescent="0.25">
      <c r="B20" s="6" t="s">
        <v>15</v>
      </c>
    </row>
    <row r="21" spans="2:8" x14ac:dyDescent="0.25">
      <c r="B21" s="13" t="s">
        <v>16</v>
      </c>
      <c r="C21" s="13" t="s">
        <v>17</v>
      </c>
      <c r="D21" s="13" t="s">
        <v>18</v>
      </c>
      <c r="E21" s="13" t="s">
        <v>6</v>
      </c>
      <c r="F21" s="13" t="s">
        <v>19</v>
      </c>
      <c r="G21" s="13" t="s">
        <v>20</v>
      </c>
      <c r="H21" s="13" t="s">
        <v>21</v>
      </c>
    </row>
    <row r="22" spans="2:8" x14ac:dyDescent="0.25">
      <c r="B22" s="14">
        <v>1</v>
      </c>
      <c r="C22" s="15" t="s">
        <v>22</v>
      </c>
      <c r="D22" s="14">
        <f>COUNTIF(Tasks!$B$2:$B$57,B22)</f>
        <v>7</v>
      </c>
      <c r="E22" s="14">
        <f>COUNTIFS(Tasks!$B$2:$B$57,B22,Tasks!$J$2:$J$57,"Done")</f>
        <v>7</v>
      </c>
      <c r="F22" s="16">
        <f t="shared" ref="F22:F29" si="0">IFERROR(E22/D22,0)</f>
        <v>1</v>
      </c>
      <c r="G22" s="17">
        <f>SUMIF(Tasks!$B$2:$B$57,B22,Tasks!$K$2:$K$57)</f>
        <v>0</v>
      </c>
      <c r="H22" s="18">
        <f t="shared" ref="H22:H29" si="1">$C$5+(B22-1)*7</f>
        <v>46320</v>
      </c>
    </row>
    <row r="23" spans="2:8" x14ac:dyDescent="0.25">
      <c r="B23" s="19">
        <v>2</v>
      </c>
      <c r="C23" s="20" t="s">
        <v>23</v>
      </c>
      <c r="D23" s="19">
        <f>COUNTIF(Tasks!$B$2:$B$57,B23)</f>
        <v>7</v>
      </c>
      <c r="E23" s="19">
        <f>COUNTIFS(Tasks!$B$2:$B$57,B23,Tasks!$J$2:$J$57,"Done")</f>
        <v>7</v>
      </c>
      <c r="F23" s="21">
        <f t="shared" si="0"/>
        <v>1</v>
      </c>
      <c r="G23" s="22">
        <f>SUMIF(Tasks!$B$2:$B$57,B23,Tasks!$K$2:$K$57)</f>
        <v>0</v>
      </c>
      <c r="H23" s="23">
        <f t="shared" si="1"/>
        <v>46327</v>
      </c>
    </row>
    <row r="24" spans="2:8" x14ac:dyDescent="0.25">
      <c r="B24" s="14">
        <v>3</v>
      </c>
      <c r="C24" s="15" t="s">
        <v>24</v>
      </c>
      <c r="D24" s="14">
        <f>COUNTIF(Tasks!$B$2:$B$57,B24)</f>
        <v>7</v>
      </c>
      <c r="E24" s="14">
        <f>COUNTIFS(Tasks!$B$2:$B$57,B24,Tasks!$J$2:$J$57,"Done")</f>
        <v>4</v>
      </c>
      <c r="F24" s="16">
        <f t="shared" si="0"/>
        <v>0.5714285714285714</v>
      </c>
      <c r="G24" s="17">
        <f>SUMIF(Tasks!$B$2:$B$57,B24,Tasks!$K$2:$K$57)</f>
        <v>0</v>
      </c>
      <c r="H24" s="18">
        <f t="shared" si="1"/>
        <v>46334</v>
      </c>
    </row>
    <row r="25" spans="2:8" x14ac:dyDescent="0.25">
      <c r="B25" s="19">
        <v>4</v>
      </c>
      <c r="C25" s="20" t="s">
        <v>25</v>
      </c>
      <c r="D25" s="19">
        <f>COUNTIF(Tasks!$B$2:$B$57,B25)</f>
        <v>7</v>
      </c>
      <c r="E25" s="19">
        <f>COUNTIFS(Tasks!$B$2:$B$57,B25,Tasks!$J$2:$J$57,"Done")</f>
        <v>5</v>
      </c>
      <c r="F25" s="21">
        <f t="shared" si="0"/>
        <v>0.7142857142857143</v>
      </c>
      <c r="G25" s="22">
        <f>SUMIF(Tasks!$B$2:$B$57,B25,Tasks!$K$2:$K$57)</f>
        <v>0</v>
      </c>
      <c r="H25" s="23">
        <f t="shared" si="1"/>
        <v>46341</v>
      </c>
    </row>
    <row r="26" spans="2:8" x14ac:dyDescent="0.25">
      <c r="B26" s="14">
        <v>5</v>
      </c>
      <c r="C26" s="15" t="s">
        <v>26</v>
      </c>
      <c r="D26" s="14">
        <f>COUNTIF(Tasks!$B$2:$B$57,B26)</f>
        <v>7</v>
      </c>
      <c r="E26" s="14">
        <f>COUNTIFS(Tasks!$B$2:$B$57,B26,Tasks!$J$2:$J$57,"Done")</f>
        <v>5</v>
      </c>
      <c r="F26" s="16">
        <f t="shared" si="0"/>
        <v>0.7142857142857143</v>
      </c>
      <c r="G26" s="17">
        <f>SUMIF(Tasks!$B$2:$B$57,B26,Tasks!$K$2:$K$57)</f>
        <v>0</v>
      </c>
      <c r="H26" s="18">
        <f t="shared" si="1"/>
        <v>46348</v>
      </c>
    </row>
    <row r="27" spans="2:8" x14ac:dyDescent="0.25">
      <c r="B27" s="19">
        <v>6</v>
      </c>
      <c r="C27" s="20" t="s">
        <v>27</v>
      </c>
      <c r="D27" s="19">
        <f>COUNTIF(Tasks!$B$2:$B$57,B27)</f>
        <v>7</v>
      </c>
      <c r="E27" s="19">
        <f>COUNTIFS(Tasks!$B$2:$B$57,B27,Tasks!$J$2:$J$57,"Done")</f>
        <v>0</v>
      </c>
      <c r="F27" s="21">
        <f t="shared" si="0"/>
        <v>0</v>
      </c>
      <c r="G27" s="22">
        <f>SUMIF(Tasks!$B$2:$B$57,B27,Tasks!$K$2:$K$57)</f>
        <v>0</v>
      </c>
      <c r="H27" s="23">
        <f t="shared" si="1"/>
        <v>46355</v>
      </c>
    </row>
    <row r="28" spans="2:8" x14ac:dyDescent="0.25">
      <c r="B28" s="14">
        <v>7</v>
      </c>
      <c r="C28" s="15" t="s">
        <v>28</v>
      </c>
      <c r="D28" s="14">
        <f>COUNTIF(Tasks!$B$2:$B$57,B28)</f>
        <v>7</v>
      </c>
      <c r="E28" s="14">
        <f>COUNTIFS(Tasks!$B$2:$B$57,B28,Tasks!$J$2:$J$57,"Done")</f>
        <v>0</v>
      </c>
      <c r="F28" s="16">
        <f t="shared" si="0"/>
        <v>0</v>
      </c>
      <c r="G28" s="17">
        <f>SUMIF(Tasks!$B$2:$B$57,B28,Tasks!$K$2:$K$57)</f>
        <v>0</v>
      </c>
      <c r="H28" s="18">
        <f t="shared" si="1"/>
        <v>46362</v>
      </c>
    </row>
    <row r="29" spans="2:8" x14ac:dyDescent="0.25">
      <c r="B29" s="19">
        <v>8</v>
      </c>
      <c r="C29" s="20" t="s">
        <v>29</v>
      </c>
      <c r="D29" s="19">
        <f>COUNTIF(Tasks!$B$2:$B$57,B29)</f>
        <v>7</v>
      </c>
      <c r="E29" s="19">
        <f>COUNTIFS(Tasks!$B$2:$B$57,B29,Tasks!$J$2:$J$57,"Done")</f>
        <v>0</v>
      </c>
      <c r="F29" s="21">
        <f t="shared" si="0"/>
        <v>0</v>
      </c>
      <c r="G29" s="22">
        <f>SUMIF(Tasks!$B$2:$B$57,B29,Tasks!$K$2:$K$57)</f>
        <v>0</v>
      </c>
      <c r="H29" s="23">
        <f t="shared" si="1"/>
        <v>46369</v>
      </c>
    </row>
    <row r="32" spans="2:8" ht="15.75" x14ac:dyDescent="0.25">
      <c r="B32" s="6" t="s">
        <v>30</v>
      </c>
    </row>
    <row r="33" spans="2:2" x14ac:dyDescent="0.25">
      <c r="B33" s="24" t="s">
        <v>31</v>
      </c>
    </row>
    <row r="34" spans="2:2" x14ac:dyDescent="0.25">
      <c r="B34" s="24" t="s">
        <v>32</v>
      </c>
    </row>
    <row r="35" spans="2:2" x14ac:dyDescent="0.25">
      <c r="B35" s="24" t="s">
        <v>33</v>
      </c>
    </row>
    <row r="36" spans="2:2" x14ac:dyDescent="0.25">
      <c r="B36" s="24" t="s">
        <v>34</v>
      </c>
    </row>
    <row r="37" spans="2:2" x14ac:dyDescent="0.25">
      <c r="B37" s="24" t="s">
        <v>35</v>
      </c>
    </row>
  </sheetData>
  <conditionalFormatting sqref="C12">
    <cfRule type="dataBar" priority="2">
      <dataBar>
        <cfvo type="num" val="0"/>
        <cfvo type="num" val="1"/>
        <color rgb="FF2E8B57"/>
      </dataBar>
      <extLst>
        <ext xmlns:x14="http://schemas.microsoft.com/office/spreadsheetml/2009/9/main" uri="{B025F937-C7B1-47D3-B67F-A62EFF666E3E}">
          <x14:id>{90406772-9CAB-4E9C-AD75-442996B53C3D}</x14:id>
        </ext>
      </extLst>
    </cfRule>
  </conditionalFormatting>
  <conditionalFormatting sqref="F22:F29">
    <cfRule type="dataBar" priority="3">
      <dataBar>
        <cfvo type="num" val="0"/>
        <cfvo type="num" val="1"/>
        <color rgb="FF2E8B57"/>
      </dataBar>
      <extLst>
        <ext xmlns:x14="http://schemas.microsoft.com/office/spreadsheetml/2009/9/main" uri="{B025F937-C7B1-47D3-B67F-A62EFF666E3E}">
          <x14:id>{456B30AD-729C-4D3A-935D-6C679685AA74}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406772-9CAB-4E9C-AD75-442996B53C3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E8B57"/>
            </x14:dataBar>
          </x14:cfRule>
          <xm:sqref>C12</xm:sqref>
        </x14:conditionalFormatting>
        <x14:conditionalFormatting xmlns:xm="http://schemas.microsoft.com/office/excel/2006/main">
          <x14:cfRule type="dataBar" id="{456B30AD-729C-4D3A-935D-6C679685AA7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E8B57"/>
            </x14:dataBar>
          </x14:cfRule>
          <xm:sqref>F22:F29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zoomScaleNormal="100" workbookViewId="0">
      <pane xSplit="6" ySplit="1" topLeftCell="G11" activePane="bottomRight" state="frozen"/>
      <selection pane="topRight" activeCell="G1" sqref="G1"/>
      <selection pane="bottomLeft" activeCell="A2" sqref="A2"/>
      <selection pane="bottomRight" activeCell="K16" sqref="K16"/>
    </sheetView>
  </sheetViews>
  <sheetFormatPr defaultColWidth="8.7109375" defaultRowHeight="15" x14ac:dyDescent="0.25"/>
  <cols>
    <col min="1" max="2" width="7" customWidth="1"/>
    <col min="3" max="3" width="6" customWidth="1"/>
    <col min="4" max="4" width="15" customWidth="1"/>
    <col min="5" max="5" width="20" customWidth="1"/>
    <col min="6" max="6" width="30" customWidth="1"/>
    <col min="7" max="7" width="60" customWidth="1"/>
    <col min="8" max="8" width="34" customWidth="1"/>
    <col min="9" max="9" width="8" customWidth="1"/>
    <col min="10" max="10" width="13" customWidth="1"/>
    <col min="11" max="11" width="16.28515625" customWidth="1"/>
    <col min="12" max="12" width="30" customWidth="1"/>
  </cols>
  <sheetData>
    <row r="1" spans="1:12" ht="24" customHeight="1" x14ac:dyDescent="0.25">
      <c r="A1" s="13" t="s">
        <v>36</v>
      </c>
      <c r="B1" s="13" t="s">
        <v>16</v>
      </c>
      <c r="C1" s="13" t="s">
        <v>37</v>
      </c>
      <c r="D1" s="13" t="s">
        <v>38</v>
      </c>
      <c r="E1" s="13" t="s">
        <v>17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</row>
    <row r="2" spans="1:12" ht="25.5" x14ac:dyDescent="0.25">
      <c r="A2" s="25" t="s">
        <v>46</v>
      </c>
      <c r="B2" s="25">
        <v>1</v>
      </c>
      <c r="C2" s="25">
        <v>1</v>
      </c>
      <c r="D2" s="26">
        <f>Dashboard!$C$5+C2-1</f>
        <v>46320</v>
      </c>
      <c r="E2" s="27" t="s">
        <v>22</v>
      </c>
      <c r="F2" s="28" t="s">
        <v>47</v>
      </c>
      <c r="G2" s="27" t="s">
        <v>48</v>
      </c>
      <c r="H2" s="27" t="s">
        <v>49</v>
      </c>
      <c r="I2" s="25">
        <v>1</v>
      </c>
      <c r="J2" s="29" t="s">
        <v>6</v>
      </c>
      <c r="K2" s="30"/>
      <c r="L2" s="31"/>
    </row>
    <row r="3" spans="1:12" ht="25.5" x14ac:dyDescent="0.25">
      <c r="A3" s="25" t="s">
        <v>51</v>
      </c>
      <c r="B3" s="25">
        <v>1</v>
      </c>
      <c r="C3" s="25">
        <v>2</v>
      </c>
      <c r="D3" s="26">
        <f>Dashboard!$C$5+C3-1</f>
        <v>46321</v>
      </c>
      <c r="E3" s="27" t="s">
        <v>22</v>
      </c>
      <c r="F3" s="28" t="s">
        <v>52</v>
      </c>
      <c r="G3" s="27" t="s">
        <v>53</v>
      </c>
      <c r="H3" s="27" t="s">
        <v>54</v>
      </c>
      <c r="I3" s="25">
        <v>1</v>
      </c>
      <c r="J3" s="29" t="s">
        <v>6</v>
      </c>
      <c r="K3" s="30"/>
      <c r="L3" s="31"/>
    </row>
    <row r="4" spans="1:12" ht="25.5" x14ac:dyDescent="0.25">
      <c r="A4" s="25" t="s">
        <v>55</v>
      </c>
      <c r="B4" s="25">
        <v>1</v>
      </c>
      <c r="C4" s="25">
        <v>3</v>
      </c>
      <c r="D4" s="26">
        <f>Dashboard!$C$5+C4-1</f>
        <v>46322</v>
      </c>
      <c r="E4" s="27" t="s">
        <v>22</v>
      </c>
      <c r="F4" s="28" t="s">
        <v>56</v>
      </c>
      <c r="G4" s="27" t="s">
        <v>57</v>
      </c>
      <c r="H4" s="27" t="s">
        <v>58</v>
      </c>
      <c r="I4" s="25">
        <v>1</v>
      </c>
      <c r="J4" s="29" t="s">
        <v>6</v>
      </c>
      <c r="K4" s="30"/>
      <c r="L4" s="31"/>
    </row>
    <row r="5" spans="1:12" ht="25.5" x14ac:dyDescent="0.25">
      <c r="A5" s="25" t="s">
        <v>59</v>
      </c>
      <c r="B5" s="25">
        <v>1</v>
      </c>
      <c r="C5" s="25">
        <v>4</v>
      </c>
      <c r="D5" s="26">
        <f>Dashboard!$C$5+C5-1</f>
        <v>46323</v>
      </c>
      <c r="E5" s="27" t="s">
        <v>22</v>
      </c>
      <c r="F5" s="28" t="s">
        <v>60</v>
      </c>
      <c r="G5" s="27" t="s">
        <v>61</v>
      </c>
      <c r="H5" s="27" t="s">
        <v>62</v>
      </c>
      <c r="I5" s="25">
        <v>1</v>
      </c>
      <c r="J5" s="29" t="s">
        <v>6</v>
      </c>
      <c r="K5" s="30"/>
      <c r="L5" s="31"/>
    </row>
    <row r="6" spans="1:12" ht="25.5" x14ac:dyDescent="0.25">
      <c r="A6" s="25" t="s">
        <v>63</v>
      </c>
      <c r="B6" s="25">
        <v>1</v>
      </c>
      <c r="C6" s="25">
        <v>5</v>
      </c>
      <c r="D6" s="26">
        <f>Dashboard!$C$5+C6-1</f>
        <v>46324</v>
      </c>
      <c r="E6" s="27" t="s">
        <v>22</v>
      </c>
      <c r="F6" s="28" t="s">
        <v>64</v>
      </c>
      <c r="G6" s="27" t="s">
        <v>65</v>
      </c>
      <c r="H6" s="27" t="s">
        <v>66</v>
      </c>
      <c r="I6" s="25">
        <v>1</v>
      </c>
      <c r="J6" s="29" t="s">
        <v>6</v>
      </c>
      <c r="K6" s="30"/>
      <c r="L6" s="31"/>
    </row>
    <row r="7" spans="1:12" ht="25.5" x14ac:dyDescent="0.25">
      <c r="A7" s="25" t="s">
        <v>67</v>
      </c>
      <c r="B7" s="25">
        <v>1</v>
      </c>
      <c r="C7" s="25">
        <v>6</v>
      </c>
      <c r="D7" s="26">
        <f>Dashboard!$C$5+C7-1</f>
        <v>46325</v>
      </c>
      <c r="E7" s="27" t="s">
        <v>22</v>
      </c>
      <c r="F7" s="28" t="s">
        <v>68</v>
      </c>
      <c r="G7" s="27" t="s">
        <v>69</v>
      </c>
      <c r="H7" s="27" t="s">
        <v>70</v>
      </c>
      <c r="I7" s="25">
        <v>1</v>
      </c>
      <c r="J7" s="29" t="s">
        <v>6</v>
      </c>
      <c r="K7" s="30"/>
      <c r="L7" s="31"/>
    </row>
    <row r="8" spans="1:12" ht="25.5" x14ac:dyDescent="0.25">
      <c r="A8" s="32" t="s">
        <v>71</v>
      </c>
      <c r="B8" s="32">
        <v>1</v>
      </c>
      <c r="C8" s="32">
        <v>7</v>
      </c>
      <c r="D8" s="33">
        <f>Dashboard!$C$5+C8-1</f>
        <v>46326</v>
      </c>
      <c r="E8" s="34" t="s">
        <v>22</v>
      </c>
      <c r="F8" s="35" t="s">
        <v>72</v>
      </c>
      <c r="G8" s="36" t="s">
        <v>73</v>
      </c>
      <c r="H8" s="36" t="s">
        <v>74</v>
      </c>
      <c r="I8" s="32">
        <v>1</v>
      </c>
      <c r="J8" s="37" t="s">
        <v>6</v>
      </c>
      <c r="K8" s="38"/>
      <c r="L8" s="39"/>
    </row>
    <row r="9" spans="1:12" x14ac:dyDescent="0.25">
      <c r="A9" s="40" t="s">
        <v>75</v>
      </c>
      <c r="B9" s="40">
        <v>2</v>
      </c>
      <c r="C9" s="40">
        <v>8</v>
      </c>
      <c r="D9" s="41">
        <f>Dashboard!$C$5+C9-1</f>
        <v>46327</v>
      </c>
      <c r="E9" s="42" t="s">
        <v>23</v>
      </c>
      <c r="F9" s="43" t="s">
        <v>76</v>
      </c>
      <c r="G9" s="42" t="s">
        <v>77</v>
      </c>
      <c r="H9" s="42" t="s">
        <v>78</v>
      </c>
      <c r="I9" s="40">
        <v>1</v>
      </c>
      <c r="J9" s="29" t="s">
        <v>6</v>
      </c>
      <c r="K9" s="30"/>
      <c r="L9" s="31"/>
    </row>
    <row r="10" spans="1:12" ht="25.5" x14ac:dyDescent="0.25">
      <c r="A10" s="40" t="s">
        <v>79</v>
      </c>
      <c r="B10" s="40">
        <v>2</v>
      </c>
      <c r="C10" s="40">
        <v>9</v>
      </c>
      <c r="D10" s="41">
        <f>Dashboard!$C$5+C10-1</f>
        <v>46328</v>
      </c>
      <c r="E10" s="42" t="s">
        <v>23</v>
      </c>
      <c r="F10" s="43" t="s">
        <v>80</v>
      </c>
      <c r="G10" s="42" t="s">
        <v>81</v>
      </c>
      <c r="H10" s="42" t="s">
        <v>82</v>
      </c>
      <c r="I10" s="40">
        <v>1</v>
      </c>
      <c r="J10" s="29" t="s">
        <v>6</v>
      </c>
      <c r="K10" s="30"/>
      <c r="L10" s="31"/>
    </row>
    <row r="11" spans="1:12" ht="25.5" x14ac:dyDescent="0.25">
      <c r="A11" s="40" t="s">
        <v>83</v>
      </c>
      <c r="B11" s="40">
        <v>2</v>
      </c>
      <c r="C11" s="40">
        <v>10</v>
      </c>
      <c r="D11" s="41">
        <f>Dashboard!$C$5+C11-1</f>
        <v>46329</v>
      </c>
      <c r="E11" s="42" t="s">
        <v>23</v>
      </c>
      <c r="F11" s="43" t="s">
        <v>84</v>
      </c>
      <c r="G11" s="42" t="s">
        <v>85</v>
      </c>
      <c r="H11" s="42" t="s">
        <v>86</v>
      </c>
      <c r="I11" s="40">
        <v>1</v>
      </c>
      <c r="J11" s="29" t="s">
        <v>6</v>
      </c>
      <c r="K11" s="30"/>
      <c r="L11" s="31"/>
    </row>
    <row r="12" spans="1:12" ht="25.5" x14ac:dyDescent="0.25">
      <c r="A12" s="40" t="s">
        <v>87</v>
      </c>
      <c r="B12" s="40">
        <v>2</v>
      </c>
      <c r="C12" s="40">
        <v>11</v>
      </c>
      <c r="D12" s="41">
        <f>Dashboard!$C$5+C12-1</f>
        <v>46330</v>
      </c>
      <c r="E12" s="42" t="s">
        <v>23</v>
      </c>
      <c r="F12" s="43" t="s">
        <v>88</v>
      </c>
      <c r="G12" s="42" t="s">
        <v>89</v>
      </c>
      <c r="H12" s="42" t="s">
        <v>90</v>
      </c>
      <c r="I12" s="40">
        <v>1</v>
      </c>
      <c r="J12" s="29" t="s">
        <v>6</v>
      </c>
      <c r="K12" s="30"/>
      <c r="L12" s="31"/>
    </row>
    <row r="13" spans="1:12" x14ac:dyDescent="0.25">
      <c r="A13" s="40" t="s">
        <v>91</v>
      </c>
      <c r="B13" s="40">
        <v>2</v>
      </c>
      <c r="C13" s="40">
        <v>12</v>
      </c>
      <c r="D13" s="41">
        <f>Dashboard!$C$5+C13-1</f>
        <v>46331</v>
      </c>
      <c r="E13" s="42" t="s">
        <v>23</v>
      </c>
      <c r="F13" s="43" t="s">
        <v>92</v>
      </c>
      <c r="G13" s="42" t="s">
        <v>93</v>
      </c>
      <c r="H13" s="42" t="s">
        <v>94</v>
      </c>
      <c r="I13" s="40">
        <v>1</v>
      </c>
      <c r="J13" s="29" t="s">
        <v>6</v>
      </c>
      <c r="K13" s="30"/>
      <c r="L13" s="31"/>
    </row>
    <row r="14" spans="1:12" ht="25.5" x14ac:dyDescent="0.25">
      <c r="A14" s="40" t="s">
        <v>95</v>
      </c>
      <c r="B14" s="40">
        <v>2</v>
      </c>
      <c r="C14" s="40">
        <v>13</v>
      </c>
      <c r="D14" s="41">
        <f>Dashboard!$C$5+C14-1</f>
        <v>46332</v>
      </c>
      <c r="E14" s="42" t="s">
        <v>23</v>
      </c>
      <c r="F14" s="43" t="s">
        <v>96</v>
      </c>
      <c r="G14" s="42" t="s">
        <v>97</v>
      </c>
      <c r="H14" s="42" t="s">
        <v>98</v>
      </c>
      <c r="I14" s="40">
        <v>1</v>
      </c>
      <c r="J14" s="29" t="s">
        <v>6</v>
      </c>
      <c r="K14" s="30"/>
      <c r="L14" s="31"/>
    </row>
    <row r="15" spans="1:12" ht="25.5" x14ac:dyDescent="0.25">
      <c r="A15" s="44" t="s">
        <v>99</v>
      </c>
      <c r="B15" s="44">
        <v>2</v>
      </c>
      <c r="C15" s="44">
        <v>14</v>
      </c>
      <c r="D15" s="45">
        <f>Dashboard!$C$5+C15-1</f>
        <v>46333</v>
      </c>
      <c r="E15" s="46" t="s">
        <v>23</v>
      </c>
      <c r="F15" s="47" t="s">
        <v>72</v>
      </c>
      <c r="G15" s="48" t="s">
        <v>100</v>
      </c>
      <c r="H15" s="48" t="s">
        <v>101</v>
      </c>
      <c r="I15" s="44">
        <v>1</v>
      </c>
      <c r="J15" s="37" t="s">
        <v>6</v>
      </c>
      <c r="K15" s="38"/>
      <c r="L15" s="39"/>
    </row>
    <row r="16" spans="1:12" ht="25.5" x14ac:dyDescent="0.25">
      <c r="A16" s="25" t="s">
        <v>102</v>
      </c>
      <c r="B16" s="25">
        <v>3</v>
      </c>
      <c r="C16" s="25">
        <v>15</v>
      </c>
      <c r="D16" s="26">
        <f>Dashboard!$C$5+C16-1</f>
        <v>46334</v>
      </c>
      <c r="E16" s="27" t="s">
        <v>24</v>
      </c>
      <c r="F16" s="28" t="s">
        <v>103</v>
      </c>
      <c r="G16" s="27" t="s">
        <v>104</v>
      </c>
      <c r="H16" s="27" t="s">
        <v>105</v>
      </c>
      <c r="I16" s="25">
        <v>1</v>
      </c>
      <c r="J16" s="29" t="s">
        <v>6</v>
      </c>
      <c r="K16" s="30"/>
      <c r="L16" s="31"/>
    </row>
    <row r="17" spans="1:12" ht="25.5" x14ac:dyDescent="0.25">
      <c r="A17" s="25" t="s">
        <v>106</v>
      </c>
      <c r="B17" s="25">
        <v>3</v>
      </c>
      <c r="C17" s="25">
        <v>16</v>
      </c>
      <c r="D17" s="26">
        <f>Dashboard!$C$5+C17-1</f>
        <v>46335</v>
      </c>
      <c r="E17" s="27" t="s">
        <v>24</v>
      </c>
      <c r="F17" s="28" t="s">
        <v>107</v>
      </c>
      <c r="G17" s="27" t="s">
        <v>108</v>
      </c>
      <c r="H17" s="27" t="s">
        <v>109</v>
      </c>
      <c r="I17" s="25">
        <v>1</v>
      </c>
      <c r="J17" s="29" t="inlineStr">
        <is>
          <t>In Progress</t>
        </is>
      </c>
      <c r="K17" s="30"/>
      <c r="L17" s="31"/>
    </row>
    <row r="18" spans="1:12" ht="25.5" x14ac:dyDescent="0.25">
      <c r="A18" s="25" t="s">
        <v>110</v>
      </c>
      <c r="B18" s="25">
        <v>3</v>
      </c>
      <c r="C18" s="25">
        <v>17</v>
      </c>
      <c r="D18" s="26">
        <f>Dashboard!$C$5+C18-1</f>
        <v>46336</v>
      </c>
      <c r="E18" s="27" t="s">
        <v>24</v>
      </c>
      <c r="F18" s="28" t="s">
        <v>111</v>
      </c>
      <c r="G18" s="27" t="s">
        <v>112</v>
      </c>
      <c r="H18" s="27" t="s">
        <v>113</v>
      </c>
      <c r="I18" s="25">
        <v>1</v>
      </c>
      <c r="J18" s="29" t="s">
        <v>6</v>
      </c>
      <c r="K18" s="30"/>
      <c r="L18" s="31"/>
    </row>
    <row r="19" spans="1:12" ht="25.5" x14ac:dyDescent="0.25">
      <c r="A19" s="25" t="s">
        <v>114</v>
      </c>
      <c r="B19" s="25">
        <v>3</v>
      </c>
      <c r="C19" s="25">
        <v>18</v>
      </c>
      <c r="D19" s="26">
        <f>Dashboard!$C$5+C19-1</f>
        <v>46337</v>
      </c>
      <c r="E19" s="27" t="s">
        <v>24</v>
      </c>
      <c r="F19" s="28" t="s">
        <v>115</v>
      </c>
      <c r="G19" s="27" t="s">
        <v>116</v>
      </c>
      <c r="H19" s="27" t="s">
        <v>117</v>
      </c>
      <c r="I19" s="25">
        <v>1</v>
      </c>
      <c r="J19" s="29" t="s">
        <v>6</v>
      </c>
      <c r="K19" s="30"/>
      <c r="L19" s="31"/>
    </row>
    <row r="20" spans="1:12" x14ac:dyDescent="0.25">
      <c r="A20" s="25" t="s">
        <v>118</v>
      </c>
      <c r="B20" s="25">
        <v>3</v>
      </c>
      <c r="C20" s="25">
        <v>19</v>
      </c>
      <c r="D20" s="26">
        <f>Dashboard!$C$5+C20-1</f>
        <v>46338</v>
      </c>
      <c r="E20" s="27" t="s">
        <v>24</v>
      </c>
      <c r="F20" s="28" t="s">
        <v>119</v>
      </c>
      <c r="G20" s="27" t="s">
        <v>120</v>
      </c>
      <c r="H20" s="27" t="s">
        <v>121</v>
      </c>
      <c r="I20" s="25">
        <v>1</v>
      </c>
      <c r="J20" s="29" t="s">
        <v>50</v>
      </c>
      <c r="K20" s="30"/>
      <c r="L20" s="31"/>
    </row>
    <row r="21" spans="1:12" ht="25.5" x14ac:dyDescent="0.25">
      <c r="A21" s="25" t="s">
        <v>122</v>
      </c>
      <c r="B21" s="25">
        <v>3</v>
      </c>
      <c r="C21" s="25">
        <v>20</v>
      </c>
      <c r="D21" s="26">
        <f>Dashboard!$C$5+C21-1</f>
        <v>46339</v>
      </c>
      <c r="E21" s="27" t="s">
        <v>24</v>
      </c>
      <c r="F21" s="28" t="s">
        <v>123</v>
      </c>
      <c r="G21" s="27" t="s">
        <v>124</v>
      </c>
      <c r="H21" s="27" t="s">
        <v>125</v>
      </c>
      <c r="I21" s="25">
        <v>1</v>
      </c>
      <c r="J21" s="29" t="s">
        <v>6</v>
      </c>
      <c r="K21" s="30"/>
      <c r="L21" s="31"/>
    </row>
    <row r="22" spans="1:12" x14ac:dyDescent="0.25">
      <c r="A22" s="32" t="s">
        <v>126</v>
      </c>
      <c r="B22" s="32">
        <v>3</v>
      </c>
      <c r="C22" s="32">
        <v>21</v>
      </c>
      <c r="D22" s="33">
        <f>Dashboard!$C$5+C22-1</f>
        <v>46340</v>
      </c>
      <c r="E22" s="34" t="s">
        <v>24</v>
      </c>
      <c r="F22" s="35" t="s">
        <v>72</v>
      </c>
      <c r="G22" s="36" t="s">
        <v>127</v>
      </c>
      <c r="H22" s="36" t="s">
        <v>128</v>
      </c>
      <c r="I22" s="32">
        <v>1</v>
      </c>
      <c r="J22" s="37" t="s">
        <v>50</v>
      </c>
      <c r="K22" s="38"/>
      <c r="L22" s="39"/>
    </row>
    <row r="23" spans="1:12" x14ac:dyDescent="0.25">
      <c r="A23" s="40" t="s">
        <v>129</v>
      </c>
      <c r="B23" s="40">
        <v>4</v>
      </c>
      <c r="C23" s="40">
        <v>22</v>
      </c>
      <c r="D23" s="41">
        <f>Dashboard!$C$5+C23-1</f>
        <v>46341</v>
      </c>
      <c r="E23" s="42" t="s">
        <v>25</v>
      </c>
      <c r="F23" s="43" t="s">
        <v>130</v>
      </c>
      <c r="G23" s="42" t="s">
        <v>131</v>
      </c>
      <c r="H23" s="42" t="s">
        <v>132</v>
      </c>
      <c r="I23" s="40">
        <v>1</v>
      </c>
      <c r="J23" s="29" t="s">
        <v>6</v>
      </c>
      <c r="K23" s="30"/>
      <c r="L23" s="31"/>
    </row>
    <row r="24" spans="1:12" ht="25.5" x14ac:dyDescent="0.25">
      <c r="A24" s="40" t="s">
        <v>133</v>
      </c>
      <c r="B24" s="40">
        <v>4</v>
      </c>
      <c r="C24" s="40">
        <v>23</v>
      </c>
      <c r="D24" s="41">
        <f>Dashboard!$C$5+C24-1</f>
        <v>46342</v>
      </c>
      <c r="E24" s="42" t="s">
        <v>25</v>
      </c>
      <c r="F24" s="43" t="s">
        <v>134</v>
      </c>
      <c r="G24" s="42" t="s">
        <v>135</v>
      </c>
      <c r="H24" s="42" t="s">
        <v>136</v>
      </c>
      <c r="I24" s="40">
        <v>1</v>
      </c>
      <c r="J24" s="29" t="s">
        <v>6</v>
      </c>
      <c r="K24" s="30"/>
      <c r="L24" s="31"/>
    </row>
    <row r="25" spans="1:12" x14ac:dyDescent="0.25">
      <c r="A25" s="40" t="s">
        <v>137</v>
      </c>
      <c r="B25" s="40">
        <v>4</v>
      </c>
      <c r="C25" s="40">
        <v>24</v>
      </c>
      <c r="D25" s="41">
        <f>Dashboard!$C$5+C25-1</f>
        <v>46343</v>
      </c>
      <c r="E25" s="42" t="s">
        <v>25</v>
      </c>
      <c r="F25" s="43" t="s">
        <v>138</v>
      </c>
      <c r="G25" s="42" t="s">
        <v>139</v>
      </c>
      <c r="H25" s="42" t="s">
        <v>140</v>
      </c>
      <c r="I25" s="40">
        <v>1</v>
      </c>
      <c r="J25" s="29" t="inlineStr">
        <is>
          <t>In Progress</t>
        </is>
      </c>
      <c r="K25" s="30"/>
      <c r="L25" s="31"/>
    </row>
    <row r="26" spans="1:12" x14ac:dyDescent="0.25">
      <c r="A26" s="40" t="s">
        <v>141</v>
      </c>
      <c r="B26" s="40">
        <v>4</v>
      </c>
      <c r="C26" s="40">
        <v>25</v>
      </c>
      <c r="D26" s="41">
        <f>Dashboard!$C$5+C26-1</f>
        <v>46344</v>
      </c>
      <c r="E26" s="42" t="s">
        <v>25</v>
      </c>
      <c r="F26" s="43" t="s">
        <v>142</v>
      </c>
      <c r="G26" s="42" t="s">
        <v>143</v>
      </c>
      <c r="H26" s="42" t="s">
        <v>144</v>
      </c>
      <c r="I26" s="40">
        <v>1</v>
      </c>
      <c r="J26" s="29" t="s">
        <v>6</v>
      </c>
      <c r="K26" s="30"/>
      <c r="L26" s="31"/>
    </row>
    <row r="27" spans="1:12" x14ac:dyDescent="0.25">
      <c r="A27" s="40" t="s">
        <v>145</v>
      </c>
      <c r="B27" s="40">
        <v>4</v>
      </c>
      <c r="C27" s="40">
        <v>26</v>
      </c>
      <c r="D27" s="41">
        <f>Dashboard!$C$5+C27-1</f>
        <v>46345</v>
      </c>
      <c r="E27" s="42" t="s">
        <v>25</v>
      </c>
      <c r="F27" s="43" t="s">
        <v>146</v>
      </c>
      <c r="G27" s="42" t="s">
        <v>147</v>
      </c>
      <c r="H27" s="42" t="s">
        <v>148</v>
      </c>
      <c r="I27" s="40">
        <v>1</v>
      </c>
      <c r="J27" s="29" t="s">
        <v>6</v>
      </c>
      <c r="K27" s="30"/>
      <c r="L27" s="31"/>
    </row>
    <row r="28" spans="1:12" ht="25.5" x14ac:dyDescent="0.25">
      <c r="A28" s="40" t="s">
        <v>149</v>
      </c>
      <c r="B28" s="40">
        <v>4</v>
      </c>
      <c r="C28" s="40">
        <v>27</v>
      </c>
      <c r="D28" s="41">
        <f>Dashboard!$C$5+C28-1</f>
        <v>46346</v>
      </c>
      <c r="E28" s="42" t="s">
        <v>25</v>
      </c>
      <c r="F28" s="43" t="s">
        <v>150</v>
      </c>
      <c r="G28" s="42" t="s">
        <v>151</v>
      </c>
      <c r="H28" s="42" t="s">
        <v>152</v>
      </c>
      <c r="I28" s="40">
        <v>1</v>
      </c>
      <c r="J28" s="29" t="s">
        <v>6</v>
      </c>
      <c r="K28" s="30"/>
      <c r="L28" s="31"/>
    </row>
    <row r="29" spans="1:12" x14ac:dyDescent="0.25">
      <c r="A29" s="44" t="s">
        <v>153</v>
      </c>
      <c r="B29" s="44">
        <v>4</v>
      </c>
      <c r="C29" s="44">
        <v>28</v>
      </c>
      <c r="D29" s="45">
        <f>Dashboard!$C$5+C29-1</f>
        <v>46347</v>
      </c>
      <c r="E29" s="46" t="s">
        <v>25</v>
      </c>
      <c r="F29" s="47" t="s">
        <v>72</v>
      </c>
      <c r="G29" s="48" t="s">
        <v>127</v>
      </c>
      <c r="H29" s="48" t="s">
        <v>154</v>
      </c>
      <c r="I29" s="44">
        <v>1</v>
      </c>
      <c r="J29" s="37" t="s">
        <v>50</v>
      </c>
      <c r="K29" s="38"/>
      <c r="L29" s="39"/>
    </row>
    <row r="30" spans="1:12" x14ac:dyDescent="0.25">
      <c r="A30" s="25" t="s">
        <v>155</v>
      </c>
      <c r="B30" s="25">
        <v>5</v>
      </c>
      <c r="C30" s="25">
        <v>29</v>
      </c>
      <c r="D30" s="26">
        <f>Dashboard!$C$5+C30-1</f>
        <v>46348</v>
      </c>
      <c r="E30" s="27" t="s">
        <v>26</v>
      </c>
      <c r="F30" s="28" t="s">
        <v>156</v>
      </c>
      <c r="G30" s="27" t="s">
        <v>157</v>
      </c>
      <c r="H30" s="27" t="s">
        <v>158</v>
      </c>
      <c r="I30" s="25">
        <v>1</v>
      </c>
      <c r="J30" s="29" t="s">
        <v>6</v>
      </c>
      <c r="K30" s="30"/>
      <c r="L30" s="31"/>
    </row>
    <row r="31" spans="1:12" x14ac:dyDescent="0.25">
      <c r="A31" s="25" t="s">
        <v>159</v>
      </c>
      <c r="B31" s="25">
        <v>5</v>
      </c>
      <c r="C31" s="25">
        <v>30</v>
      </c>
      <c r="D31" s="26">
        <f>Dashboard!$C$5+C31-1</f>
        <v>46349</v>
      </c>
      <c r="E31" s="27" t="s">
        <v>26</v>
      </c>
      <c r="F31" s="28" t="s">
        <v>160</v>
      </c>
      <c r="G31" s="27" t="s">
        <v>161</v>
      </c>
      <c r="H31" s="27" t="s">
        <v>162</v>
      </c>
      <c r="I31" s="25">
        <v>1</v>
      </c>
      <c r="J31" s="29" t="s">
        <v>6</v>
      </c>
      <c r="K31" s="30"/>
      <c r="L31" s="31"/>
    </row>
    <row r="32" spans="1:12" ht="25.5" x14ac:dyDescent="0.25">
      <c r="A32" s="25" t="s">
        <v>163</v>
      </c>
      <c r="B32" s="25">
        <v>5</v>
      </c>
      <c r="C32" s="25">
        <v>31</v>
      </c>
      <c r="D32" s="26">
        <f>Dashboard!$C$5+C32-1</f>
        <v>46350</v>
      </c>
      <c r="E32" s="27" t="s">
        <v>26</v>
      </c>
      <c r="F32" s="28" t="s">
        <v>164</v>
      </c>
      <c r="G32" s="27" t="s">
        <v>165</v>
      </c>
      <c r="H32" s="27" t="s">
        <v>166</v>
      </c>
      <c r="I32" s="25">
        <v>1</v>
      </c>
      <c r="J32" s="29" t="s">
        <v>6</v>
      </c>
      <c r="K32" s="30"/>
      <c r="L32" s="31"/>
    </row>
    <row r="33" spans="1:12" x14ac:dyDescent="0.25">
      <c r="A33" s="25" t="s">
        <v>167</v>
      </c>
      <c r="B33" s="25">
        <v>5</v>
      </c>
      <c r="C33" s="25">
        <v>32</v>
      </c>
      <c r="D33" s="26">
        <f>Dashboard!$C$5+C33-1</f>
        <v>46351</v>
      </c>
      <c r="E33" s="27" t="s">
        <v>26</v>
      </c>
      <c r="F33" s="28" t="s">
        <v>168</v>
      </c>
      <c r="G33" s="27" t="s">
        <v>169</v>
      </c>
      <c r="H33" s="27" t="s">
        <v>170</v>
      </c>
      <c r="I33" s="25">
        <v>1</v>
      </c>
      <c r="J33" s="29" t="s">
        <v>6</v>
      </c>
      <c r="K33" s="30"/>
      <c r="L33" s="31"/>
    </row>
    <row r="34" spans="1:12" x14ac:dyDescent="0.25">
      <c r="A34" s="25" t="s">
        <v>171</v>
      </c>
      <c r="B34" s="25">
        <v>5</v>
      </c>
      <c r="C34" s="25">
        <v>33</v>
      </c>
      <c r="D34" s="26">
        <f>Dashboard!$C$5+C34-1</f>
        <v>46352</v>
      </c>
      <c r="E34" s="27" t="s">
        <v>26</v>
      </c>
      <c r="F34" s="28" t="s">
        <v>172</v>
      </c>
      <c r="G34" s="27" t="s">
        <v>173</v>
      </c>
      <c r="H34" s="27" t="s">
        <v>174</v>
      </c>
      <c r="I34" s="25">
        <v>1</v>
      </c>
      <c r="J34" s="29" t="s">
        <v>6</v>
      </c>
      <c r="K34" s="30"/>
      <c r="L34" s="31"/>
    </row>
    <row r="35" spans="1:12" x14ac:dyDescent="0.25">
      <c r="A35" s="25" t="s">
        <v>175</v>
      </c>
      <c r="B35" s="25">
        <v>5</v>
      </c>
      <c r="C35" s="25">
        <v>34</v>
      </c>
      <c r="D35" s="26">
        <f>Dashboard!$C$5+C35-1</f>
        <v>46353</v>
      </c>
      <c r="E35" s="27" t="s">
        <v>26</v>
      </c>
      <c r="F35" s="28" t="s">
        <v>176</v>
      </c>
      <c r="G35" s="27" t="s">
        <v>177</v>
      </c>
      <c r="H35" s="27" t="s">
        <v>178</v>
      </c>
      <c r="I35" s="25">
        <v>1</v>
      </c>
      <c r="J35" s="29" t="s">
        <v>50</v>
      </c>
      <c r="K35" s="30"/>
      <c r="L35" s="31"/>
    </row>
    <row r="36" spans="1:12" x14ac:dyDescent="0.25">
      <c r="A36" s="32" t="s">
        <v>179</v>
      </c>
      <c r="B36" s="32">
        <v>5</v>
      </c>
      <c r="C36" s="32">
        <v>35</v>
      </c>
      <c r="D36" s="33">
        <f>Dashboard!$C$5+C36-1</f>
        <v>46354</v>
      </c>
      <c r="E36" s="34" t="s">
        <v>26</v>
      </c>
      <c r="F36" s="35" t="s">
        <v>72</v>
      </c>
      <c r="G36" s="36" t="s">
        <v>180</v>
      </c>
      <c r="H36" s="36" t="s">
        <v>181</v>
      </c>
      <c r="I36" s="32">
        <v>1</v>
      </c>
      <c r="J36" s="37" t="s">
        <v>50</v>
      </c>
      <c r="K36" s="38"/>
      <c r="L36" s="39"/>
    </row>
    <row r="37" spans="1:12" ht="25.5" x14ac:dyDescent="0.25">
      <c r="A37" s="40" t="s">
        <v>182</v>
      </c>
      <c r="B37" s="40">
        <v>6</v>
      </c>
      <c r="C37" s="40">
        <v>36</v>
      </c>
      <c r="D37" s="41">
        <f>Dashboard!$C$5+C37-1</f>
        <v>46355</v>
      </c>
      <c r="E37" s="42" t="s">
        <v>27</v>
      </c>
      <c r="F37" s="43" t="s">
        <v>183</v>
      </c>
      <c r="G37" s="42" t="s">
        <v>184</v>
      </c>
      <c r="H37" s="42" t="s">
        <v>185</v>
      </c>
      <c r="I37" s="40">
        <v>1</v>
      </c>
      <c r="J37" s="29" t="s">
        <v>50</v>
      </c>
      <c r="K37" s="30"/>
      <c r="L37" s="31"/>
    </row>
    <row r="38" spans="1:12" x14ac:dyDescent="0.25">
      <c r="A38" s="40" t="s">
        <v>186</v>
      </c>
      <c r="B38" s="40">
        <v>6</v>
      </c>
      <c r="C38" s="40">
        <v>37</v>
      </c>
      <c r="D38" s="41">
        <f>Dashboard!$C$5+C38-1</f>
        <v>46356</v>
      </c>
      <c r="E38" s="42" t="s">
        <v>27</v>
      </c>
      <c r="F38" s="43" t="s">
        <v>187</v>
      </c>
      <c r="G38" s="42" t="s">
        <v>188</v>
      </c>
      <c r="H38" s="42" t="s">
        <v>189</v>
      </c>
      <c r="I38" s="40">
        <v>1</v>
      </c>
      <c r="J38" s="29" t="s">
        <v>50</v>
      </c>
      <c r="K38" s="30"/>
      <c r="L38" s="31"/>
    </row>
    <row r="39" spans="1:12" x14ac:dyDescent="0.25">
      <c r="A39" s="40" t="s">
        <v>190</v>
      </c>
      <c r="B39" s="40">
        <v>6</v>
      </c>
      <c r="C39" s="40">
        <v>38</v>
      </c>
      <c r="D39" s="41">
        <f>Dashboard!$C$5+C39-1</f>
        <v>46357</v>
      </c>
      <c r="E39" s="42" t="s">
        <v>27</v>
      </c>
      <c r="F39" s="43" t="s">
        <v>191</v>
      </c>
      <c r="G39" s="42" t="s">
        <v>192</v>
      </c>
      <c r="H39" s="42" t="s">
        <v>193</v>
      </c>
      <c r="I39" s="40">
        <v>1</v>
      </c>
      <c r="J39" s="29" t="inlineStr">
        <is>
          <t>In Progress</t>
        </is>
      </c>
      <c r="K39" s="30"/>
      <c r="L39" s="31"/>
    </row>
    <row r="40" spans="1:12" x14ac:dyDescent="0.25">
      <c r="A40" s="40" t="s">
        <v>194</v>
      </c>
      <c r="B40" s="40">
        <v>6</v>
      </c>
      <c r="C40" s="40">
        <v>39</v>
      </c>
      <c r="D40" s="41">
        <f>Dashboard!$C$5+C40-1</f>
        <v>46358</v>
      </c>
      <c r="E40" s="42" t="s">
        <v>27</v>
      </c>
      <c r="F40" s="43" t="s">
        <v>195</v>
      </c>
      <c r="G40" s="42" t="s">
        <v>196</v>
      </c>
      <c r="H40" s="42" t="s">
        <v>197</v>
      </c>
      <c r="I40" s="40">
        <v>1</v>
      </c>
      <c r="J40" s="29" t="inlineStr">
        <is>
          <t>In Progress</t>
        </is>
      </c>
      <c r="K40" s="30"/>
      <c r="L40" s="31"/>
    </row>
    <row r="41" spans="1:12" ht="25.5" x14ac:dyDescent="0.25">
      <c r="A41" s="40" t="s">
        <v>198</v>
      </c>
      <c r="B41" s="40">
        <v>6</v>
      </c>
      <c r="C41" s="40">
        <v>40</v>
      </c>
      <c r="D41" s="41">
        <f>Dashboard!$C$5+C41-1</f>
        <v>46359</v>
      </c>
      <c r="E41" s="42" t="s">
        <v>27</v>
      </c>
      <c r="F41" s="43" t="s">
        <v>199</v>
      </c>
      <c r="G41" s="42" t="s">
        <v>200</v>
      </c>
      <c r="H41" s="42" t="s">
        <v>201</v>
      </c>
      <c r="I41" s="40">
        <v>1</v>
      </c>
      <c r="J41" s="29" t="inlineStr">
        <is>
          <t>In Progress</t>
        </is>
      </c>
      <c r="K41" s="30"/>
      <c r="L41" s="31"/>
    </row>
    <row r="42" spans="1:12" ht="25.5" x14ac:dyDescent="0.25">
      <c r="A42" s="40" t="s">
        <v>202</v>
      </c>
      <c r="B42" s="40">
        <v>6</v>
      </c>
      <c r="C42" s="40">
        <v>41</v>
      </c>
      <c r="D42" s="41">
        <f>Dashboard!$C$5+C42-1</f>
        <v>46360</v>
      </c>
      <c r="E42" s="42" t="s">
        <v>27</v>
      </c>
      <c r="F42" s="43" t="s">
        <v>203</v>
      </c>
      <c r="G42" s="42" t="s">
        <v>204</v>
      </c>
      <c r="H42" s="42" t="s">
        <v>205</v>
      </c>
      <c r="I42" s="40">
        <v>1</v>
      </c>
      <c r="J42" s="29" t="inlineStr">
        <is>
          <t>In Progress</t>
        </is>
      </c>
      <c r="K42" s="30"/>
      <c r="L42" s="31"/>
    </row>
    <row r="43" spans="1:12" x14ac:dyDescent="0.25">
      <c r="A43" s="44" t="s">
        <v>206</v>
      </c>
      <c r="B43" s="44">
        <v>6</v>
      </c>
      <c r="C43" s="44">
        <v>42</v>
      </c>
      <c r="D43" s="45">
        <f>Dashboard!$C$5+C43-1</f>
        <v>46361</v>
      </c>
      <c r="E43" s="46" t="s">
        <v>27</v>
      </c>
      <c r="F43" s="47" t="s">
        <v>72</v>
      </c>
      <c r="G43" s="48" t="s">
        <v>127</v>
      </c>
      <c r="H43" s="48" t="s">
        <v>207</v>
      </c>
      <c r="I43" s="44">
        <v>1</v>
      </c>
      <c r="J43" s="37" t="s">
        <v>50</v>
      </c>
      <c r="K43" s="38"/>
      <c r="L43" s="39"/>
    </row>
    <row r="44" spans="1:12" x14ac:dyDescent="0.25">
      <c r="A44" s="25" t="s">
        <v>208</v>
      </c>
      <c r="B44" s="25">
        <v>7</v>
      </c>
      <c r="C44" s="25">
        <v>43</v>
      </c>
      <c r="D44" s="26">
        <f>Dashboard!$C$5+C44-1</f>
        <v>46362</v>
      </c>
      <c r="E44" s="27" t="s">
        <v>28</v>
      </c>
      <c r="F44" s="28" t="s">
        <v>209</v>
      </c>
      <c r="G44" s="27" t="s">
        <v>210</v>
      </c>
      <c r="H44" s="27" t="s">
        <v>211</v>
      </c>
      <c r="I44" s="25">
        <v>1</v>
      </c>
      <c r="J44" s="29" t="s">
        <v>50</v>
      </c>
      <c r="K44" s="30"/>
      <c r="L44" s="31"/>
    </row>
    <row r="45" spans="1:12" x14ac:dyDescent="0.25">
      <c r="A45" s="25" t="s">
        <v>212</v>
      </c>
      <c r="B45" s="25">
        <v>7</v>
      </c>
      <c r="C45" s="25">
        <v>44</v>
      </c>
      <c r="D45" s="26">
        <f>Dashboard!$C$5+C45-1</f>
        <v>46363</v>
      </c>
      <c r="E45" s="27" t="s">
        <v>28</v>
      </c>
      <c r="F45" s="28" t="s">
        <v>213</v>
      </c>
      <c r="G45" s="27" t="s">
        <v>214</v>
      </c>
      <c r="H45" s="27" t="s">
        <v>215</v>
      </c>
      <c r="I45" s="25">
        <v>1</v>
      </c>
      <c r="J45" s="29" t="s">
        <v>50</v>
      </c>
      <c r="K45" s="30"/>
      <c r="L45" s="31"/>
    </row>
    <row r="46" spans="1:12" ht="25.5" x14ac:dyDescent="0.25">
      <c r="A46" s="25" t="s">
        <v>216</v>
      </c>
      <c r="B46" s="25">
        <v>7</v>
      </c>
      <c r="C46" s="25">
        <v>45</v>
      </c>
      <c r="D46" s="26">
        <f>Dashboard!$C$5+C46-1</f>
        <v>46364</v>
      </c>
      <c r="E46" s="27" t="s">
        <v>28</v>
      </c>
      <c r="F46" s="28" t="s">
        <v>217</v>
      </c>
      <c r="G46" s="27" t="s">
        <v>218</v>
      </c>
      <c r="H46" s="27" t="s">
        <v>219</v>
      </c>
      <c r="I46" s="25">
        <v>1</v>
      </c>
      <c r="J46" s="29" t="s">
        <v>50</v>
      </c>
      <c r="K46" s="30"/>
      <c r="L46" s="31"/>
    </row>
    <row r="47" spans="1:12" ht="25.5" x14ac:dyDescent="0.25">
      <c r="A47" s="25" t="s">
        <v>220</v>
      </c>
      <c r="B47" s="25">
        <v>7</v>
      </c>
      <c r="C47" s="25">
        <v>46</v>
      </c>
      <c r="D47" s="26">
        <f>Dashboard!$C$5+C47-1</f>
        <v>46365</v>
      </c>
      <c r="E47" s="27" t="s">
        <v>28</v>
      </c>
      <c r="F47" s="28" t="s">
        <v>221</v>
      </c>
      <c r="G47" s="27" t="s">
        <v>222</v>
      </c>
      <c r="H47" s="27" t="s">
        <v>223</v>
      </c>
      <c r="I47" s="25">
        <v>1</v>
      </c>
      <c r="J47" s="29" t="s">
        <v>50</v>
      </c>
      <c r="K47" s="30"/>
      <c r="L47" s="31"/>
    </row>
    <row r="48" spans="1:12" ht="25.5" x14ac:dyDescent="0.25">
      <c r="A48" s="25" t="s">
        <v>224</v>
      </c>
      <c r="B48" s="25">
        <v>7</v>
      </c>
      <c r="C48" s="25">
        <v>47</v>
      </c>
      <c r="D48" s="26">
        <f>Dashboard!$C$5+C48-1</f>
        <v>46366</v>
      </c>
      <c r="E48" s="27" t="s">
        <v>28</v>
      </c>
      <c r="F48" s="28" t="s">
        <v>225</v>
      </c>
      <c r="G48" s="27" t="s">
        <v>226</v>
      </c>
      <c r="H48" s="27" t="s">
        <v>227</v>
      </c>
      <c r="I48" s="25">
        <v>1</v>
      </c>
      <c r="J48" s="29" t="s">
        <v>50</v>
      </c>
      <c r="K48" s="30"/>
      <c r="L48" s="31"/>
    </row>
    <row r="49" spans="1:12" ht="25.5" x14ac:dyDescent="0.25">
      <c r="A49" s="25" t="s">
        <v>228</v>
      </c>
      <c r="B49" s="25">
        <v>7</v>
      </c>
      <c r="C49" s="25">
        <v>48</v>
      </c>
      <c r="D49" s="26">
        <f>Dashboard!$C$5+C49-1</f>
        <v>46367</v>
      </c>
      <c r="E49" s="27" t="s">
        <v>28</v>
      </c>
      <c r="F49" s="28" t="s">
        <v>229</v>
      </c>
      <c r="G49" s="27" t="s">
        <v>230</v>
      </c>
      <c r="H49" s="27" t="s">
        <v>231</v>
      </c>
      <c r="I49" s="25">
        <v>1</v>
      </c>
      <c r="J49" s="29" t="s">
        <v>50</v>
      </c>
      <c r="K49" s="30"/>
      <c r="L49" s="31"/>
    </row>
    <row r="50" spans="1:12" x14ac:dyDescent="0.25">
      <c r="A50" s="32" t="s">
        <v>232</v>
      </c>
      <c r="B50" s="32">
        <v>7</v>
      </c>
      <c r="C50" s="32">
        <v>49</v>
      </c>
      <c r="D50" s="33">
        <f>Dashboard!$C$5+C50-1</f>
        <v>46368</v>
      </c>
      <c r="E50" s="34" t="s">
        <v>28</v>
      </c>
      <c r="F50" s="35" t="s">
        <v>72</v>
      </c>
      <c r="G50" s="36" t="s">
        <v>233</v>
      </c>
      <c r="H50" s="36" t="s">
        <v>234</v>
      </c>
      <c r="I50" s="32">
        <v>1</v>
      </c>
      <c r="J50" s="37" t="s">
        <v>50</v>
      </c>
      <c r="K50" s="38"/>
      <c r="L50" s="39"/>
    </row>
    <row r="51" spans="1:12" ht="25.5" x14ac:dyDescent="0.25">
      <c r="A51" s="40" t="s">
        <v>235</v>
      </c>
      <c r="B51" s="40">
        <v>8</v>
      </c>
      <c r="C51" s="40">
        <v>50</v>
      </c>
      <c r="D51" s="41">
        <f>Dashboard!$C$5+C51-1</f>
        <v>46369</v>
      </c>
      <c r="E51" s="42" t="s">
        <v>29</v>
      </c>
      <c r="F51" s="43" t="s">
        <v>236</v>
      </c>
      <c r="G51" s="42" t="s">
        <v>237</v>
      </c>
      <c r="H51" s="42" t="s">
        <v>238</v>
      </c>
      <c r="I51" s="40">
        <v>1</v>
      </c>
      <c r="J51" s="29" t="inlineStr">
        <is>
          <t>In Progress</t>
        </is>
      </c>
      <c r="K51" s="30"/>
      <c r="L51" s="31"/>
    </row>
    <row r="52" spans="1:12" x14ac:dyDescent="0.25">
      <c r="A52" s="40" t="s">
        <v>239</v>
      </c>
      <c r="B52" s="40">
        <v>8</v>
      </c>
      <c r="C52" s="40">
        <v>51</v>
      </c>
      <c r="D52" s="41">
        <f>Dashboard!$C$5+C52-1</f>
        <v>46370</v>
      </c>
      <c r="E52" s="42" t="s">
        <v>29</v>
      </c>
      <c r="F52" s="43" t="s">
        <v>240</v>
      </c>
      <c r="G52" s="42" t="s">
        <v>241</v>
      </c>
      <c r="H52" s="42" t="s">
        <v>242</v>
      </c>
      <c r="I52" s="40">
        <v>1</v>
      </c>
      <c r="J52" s="29" t="inlineStr">
        <is>
          <t>In Progress</t>
        </is>
      </c>
      <c r="K52" s="30"/>
      <c r="L52" s="31"/>
    </row>
    <row r="53" spans="1:12" ht="25.5" x14ac:dyDescent="0.25">
      <c r="A53" s="40" t="s">
        <v>243</v>
      </c>
      <c r="B53" s="40">
        <v>8</v>
      </c>
      <c r="C53" s="40">
        <v>52</v>
      </c>
      <c r="D53" s="41">
        <f>Dashboard!$C$5+C53-1</f>
        <v>46371</v>
      </c>
      <c r="E53" s="42" t="s">
        <v>29</v>
      </c>
      <c r="F53" s="43" t="s">
        <v>244</v>
      </c>
      <c r="G53" s="42" t="s">
        <v>245</v>
      </c>
      <c r="H53" s="42" t="s">
        <v>246</v>
      </c>
      <c r="I53" s="40">
        <v>1</v>
      </c>
      <c r="J53" s="29" t="inlineStr">
        <is>
          <t>In Progress</t>
        </is>
      </c>
      <c r="K53" s="30"/>
      <c r="L53" s="31"/>
    </row>
    <row r="54" spans="1:12" ht="25.5" x14ac:dyDescent="0.25">
      <c r="A54" s="40" t="s">
        <v>247</v>
      </c>
      <c r="B54" s="40">
        <v>8</v>
      </c>
      <c r="C54" s="40">
        <v>53</v>
      </c>
      <c r="D54" s="41">
        <f>Dashboard!$C$5+C54-1</f>
        <v>46372</v>
      </c>
      <c r="E54" s="42" t="s">
        <v>29</v>
      </c>
      <c r="F54" s="43" t="s">
        <v>248</v>
      </c>
      <c r="G54" s="42" t="s">
        <v>249</v>
      </c>
      <c r="H54" s="42" t="s">
        <v>250</v>
      </c>
      <c r="I54" s="40">
        <v>1</v>
      </c>
      <c r="J54" s="29" t="s">
        <v>50</v>
      </c>
      <c r="K54" s="30"/>
      <c r="L54" s="31"/>
    </row>
    <row r="55" spans="1:12" x14ac:dyDescent="0.25">
      <c r="A55" s="40" t="s">
        <v>251</v>
      </c>
      <c r="B55" s="40">
        <v>8</v>
      </c>
      <c r="C55" s="40">
        <v>54</v>
      </c>
      <c r="D55" s="41">
        <f>Dashboard!$C$5+C55-1</f>
        <v>46373</v>
      </c>
      <c r="E55" s="42" t="s">
        <v>29</v>
      </c>
      <c r="F55" s="43" t="s">
        <v>252</v>
      </c>
      <c r="G55" s="42" t="s">
        <v>253</v>
      </c>
      <c r="H55" s="42" t="s">
        <v>254</v>
      </c>
      <c r="I55" s="40">
        <v>1</v>
      </c>
      <c r="J55" s="29" t="s">
        <v>50</v>
      </c>
      <c r="K55" s="30"/>
      <c r="L55" s="31"/>
    </row>
    <row r="56" spans="1:12" x14ac:dyDescent="0.25">
      <c r="A56" s="40" t="s">
        <v>255</v>
      </c>
      <c r="B56" s="40">
        <v>8</v>
      </c>
      <c r="C56" s="40">
        <v>55</v>
      </c>
      <c r="D56" s="41">
        <f>Dashboard!$C$5+C56-1</f>
        <v>46374</v>
      </c>
      <c r="E56" s="42" t="s">
        <v>29</v>
      </c>
      <c r="F56" s="43" t="s">
        <v>256</v>
      </c>
      <c r="G56" s="42" t="s">
        <v>257</v>
      </c>
      <c r="H56" s="42" t="s">
        <v>258</v>
      </c>
      <c r="I56" s="40">
        <v>1</v>
      </c>
      <c r="J56" s="29" t="s">
        <v>50</v>
      </c>
      <c r="K56" s="30"/>
      <c r="L56" s="31"/>
    </row>
    <row r="57" spans="1:12" x14ac:dyDescent="0.25">
      <c r="A57" s="40" t="s">
        <v>259</v>
      </c>
      <c r="B57" s="40">
        <v>8</v>
      </c>
      <c r="C57" s="40">
        <v>56</v>
      </c>
      <c r="D57" s="41">
        <f>Dashboard!$C$5+C57-1</f>
        <v>46375</v>
      </c>
      <c r="E57" s="42" t="s">
        <v>29</v>
      </c>
      <c r="F57" s="43" t="s">
        <v>260</v>
      </c>
      <c r="G57" s="42" t="s">
        <v>261</v>
      </c>
      <c r="H57" s="42" t="s">
        <v>262</v>
      </c>
      <c r="I57" s="40">
        <v>1</v>
      </c>
      <c r="J57" s="29" t="s">
        <v>50</v>
      </c>
      <c r="K57" s="30"/>
      <c r="L57" s="31"/>
    </row>
  </sheetData>
  <autoFilter ref="A1:L57"/>
  <conditionalFormatting sqref="J2:J57">
    <cfRule type="cellIs" dxfId="6" priority="2" operator="equal">
      <formula>"Done"</formula>
    </cfRule>
    <cfRule type="cellIs" dxfId="5" priority="3" operator="equal">
      <formula>"In Progress"</formula>
    </cfRule>
    <cfRule type="cellIs" dxfId="4" priority="4" operator="equal">
      <formula>"Blocked"</formula>
    </cfRule>
  </conditionalFormatting>
  <conditionalFormatting sqref="A2:I57">
    <cfRule type="expression" dxfId="3" priority="5">
      <formula>$J2="Done"</formula>
    </cfRule>
  </conditionalFormatting>
  <conditionalFormatting sqref="D2:D57">
    <cfRule type="expression" dxfId="2" priority="6">
      <formula>$D2=TODAY()</formula>
    </cfRule>
  </conditionalFormatting>
  <dataValidations count="2">
    <dataValidation type="list" sqref="J2:J57">
      <formula1>"Not Started,In Progress,Done,Blocked"</formula1>
      <formula2>0</formula2>
    </dataValidation>
    <dataValidation type="decimal" sqref="K2:K57">
      <formula1>0</formula1>
      <formula2>12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"/>
  <sheetViews>
    <sheetView zoomScaleNormal="100" workbookViewId="0">
      <pane ySplit="1" topLeftCell="A2" activePane="bottomLeft" state="frozen"/>
      <selection pane="bottomLeft" activeCell="D26" sqref="D26"/>
    </sheetView>
  </sheetViews>
  <sheetFormatPr defaultColWidth="8.7109375" defaultRowHeight="15" x14ac:dyDescent="0.25"/>
  <cols>
    <col min="1" max="1" width="5" customWidth="1"/>
    <col min="2" max="2" width="12" customWidth="1"/>
    <col min="3" max="3" width="22" customWidth="1"/>
    <col min="4" max="4" width="40" customWidth="1"/>
    <col min="5" max="5" width="10" customWidth="1"/>
    <col min="6" max="6" width="16" customWidth="1"/>
    <col min="7" max="7" width="18.42578125" customWidth="1"/>
    <col min="8" max="8" width="20.85546875" customWidth="1"/>
    <col min="9" max="10" width="12" customWidth="1"/>
    <col min="11" max="11" width="11" customWidth="1"/>
    <col min="12" max="12" width="30" customWidth="1"/>
    <col min="13" max="13" width="3" customWidth="1"/>
    <col min="14" max="14" width="36" customWidth="1"/>
    <col min="15" max="15" width="10" customWidth="1"/>
  </cols>
  <sheetData>
    <row r="1" spans="1:15" ht="42" customHeight="1" x14ac:dyDescent="0.25">
      <c r="A1" s="13" t="s">
        <v>263</v>
      </c>
      <c r="B1" s="13" t="s">
        <v>38</v>
      </c>
      <c r="C1" s="13" t="s">
        <v>264</v>
      </c>
      <c r="D1" s="13" t="s">
        <v>265</v>
      </c>
      <c r="E1" s="13" t="s">
        <v>266</v>
      </c>
      <c r="F1" s="13" t="s">
        <v>267</v>
      </c>
      <c r="G1" s="13" t="s">
        <v>268</v>
      </c>
      <c r="H1" s="13" t="s">
        <v>269</v>
      </c>
      <c r="I1" s="13" t="s">
        <v>270</v>
      </c>
      <c r="J1" s="13" t="s">
        <v>271</v>
      </c>
      <c r="K1" s="13" t="s">
        <v>272</v>
      </c>
      <c r="L1" s="13" t="s">
        <v>45</v>
      </c>
      <c r="N1" s="13" t="s">
        <v>273</v>
      </c>
      <c r="O1" s="13" t="s">
        <v>274</v>
      </c>
    </row>
    <row r="2" spans="1:15" ht="25.5" x14ac:dyDescent="0.25">
      <c r="A2" s="49">
        <v>1</v>
      </c>
      <c r="B2" s="50">
        <v>46337</v>
      </c>
      <c r="C2" s="51" t="s">
        <v>275</v>
      </c>
      <c r="D2" s="51" t="s">
        <v>276</v>
      </c>
      <c r="E2" s="49">
        <v>12</v>
      </c>
      <c r="F2" s="49" t="s">
        <v>277</v>
      </c>
      <c r="G2" s="49" t="s">
        <v>278</v>
      </c>
      <c r="H2" s="49" t="s">
        <v>278</v>
      </c>
      <c r="I2" s="49" t="s">
        <v>278</v>
      </c>
      <c r="J2" s="52" t="s">
        <v>279</v>
      </c>
      <c r="K2" s="49">
        <v>2.4</v>
      </c>
      <c r="L2" s="51" t="s">
        <v>280</v>
      </c>
      <c r="N2" s="7" t="s">
        <v>281</v>
      </c>
      <c r="O2" s="53">
        <f>COUNTA(D2:D101)</f>
        <v>1</v>
      </c>
    </row>
    <row r="3" spans="1:15" x14ac:dyDescent="0.25">
      <c r="A3" s="54"/>
      <c r="B3" s="55"/>
      <c r="C3" s="56"/>
      <c r="D3" s="56"/>
      <c r="E3" s="54"/>
      <c r="F3" s="54"/>
      <c r="G3" s="54"/>
      <c r="H3" s="54"/>
      <c r="I3" s="54"/>
      <c r="J3" s="57"/>
      <c r="K3" s="54"/>
      <c r="L3" s="56"/>
      <c r="N3" s="7" t="s">
        <v>282</v>
      </c>
      <c r="O3" s="58">
        <f>IFERROR(COUNTIF(G2:G101,"Yes")/COUNTA(G2:G101),0)</f>
        <v>1</v>
      </c>
    </row>
    <row r="4" spans="1:15" x14ac:dyDescent="0.25">
      <c r="A4" s="54"/>
      <c r="B4" s="55"/>
      <c r="C4" s="56"/>
      <c r="D4" s="56"/>
      <c r="E4" s="54"/>
      <c r="F4" s="54"/>
      <c r="G4" s="54"/>
      <c r="H4" s="54"/>
      <c r="I4" s="54"/>
      <c r="J4" s="57"/>
      <c r="K4" s="54"/>
      <c r="L4" s="56"/>
      <c r="N4" s="7" t="s">
        <v>283</v>
      </c>
      <c r="O4" s="58">
        <f>IFERROR(COUNTIF(H2:H101,"Yes")/COUNTA(H2:H101),0)</f>
        <v>1</v>
      </c>
    </row>
    <row r="5" spans="1:15" x14ac:dyDescent="0.25">
      <c r="A5" s="54"/>
      <c r="B5" s="55"/>
      <c r="C5" s="56"/>
      <c r="D5" s="56"/>
      <c r="E5" s="54"/>
      <c r="F5" s="54"/>
      <c r="G5" s="54"/>
      <c r="H5" s="54"/>
      <c r="I5" s="54"/>
      <c r="J5" s="57"/>
      <c r="K5" s="54"/>
      <c r="L5" s="56"/>
      <c r="N5" s="7" t="s">
        <v>284</v>
      </c>
      <c r="O5" s="58">
        <f>IFERROR(COUNTIF(I2:I101,"Yes")/COUNTA(I2:I101),0)</f>
        <v>1</v>
      </c>
    </row>
    <row r="6" spans="1:15" x14ac:dyDescent="0.25">
      <c r="A6" s="54"/>
      <c r="B6" s="55"/>
      <c r="C6" s="56"/>
      <c r="D6" s="56"/>
      <c r="E6" s="54"/>
      <c r="F6" s="54"/>
      <c r="G6" s="54"/>
      <c r="H6" s="54"/>
      <c r="I6" s="54"/>
      <c r="J6" s="57"/>
      <c r="K6" s="54"/>
      <c r="L6" s="56"/>
      <c r="N6" s="7" t="s">
        <v>285</v>
      </c>
      <c r="O6" s="59">
        <f>IFERROR(MEDIAN(K2:K101),0)</f>
        <v>2.4</v>
      </c>
    </row>
    <row r="7" spans="1:15" x14ac:dyDescent="0.25">
      <c r="A7" s="54"/>
      <c r="B7" s="55"/>
      <c r="C7" s="56"/>
      <c r="D7" s="56"/>
      <c r="E7" s="54"/>
      <c r="F7" s="54"/>
      <c r="G7" s="54"/>
      <c r="H7" s="54"/>
      <c r="I7" s="54"/>
      <c r="J7" s="57"/>
      <c r="K7" s="54"/>
      <c r="L7" s="56"/>
    </row>
    <row r="8" spans="1:15" x14ac:dyDescent="0.25">
      <c r="A8" s="54"/>
      <c r="B8" s="55"/>
      <c r="C8" s="56"/>
      <c r="D8" s="56"/>
      <c r="E8" s="54"/>
      <c r="F8" s="54"/>
      <c r="G8" s="54"/>
      <c r="H8" s="54"/>
      <c r="I8" s="54"/>
      <c r="J8" s="57"/>
      <c r="K8" s="54"/>
      <c r="L8" s="56"/>
      <c r="N8" s="5" t="s">
        <v>286</v>
      </c>
    </row>
    <row r="9" spans="1:15" x14ac:dyDescent="0.25">
      <c r="A9" s="54"/>
      <c r="B9" s="55"/>
      <c r="C9" s="56"/>
      <c r="D9" s="56"/>
      <c r="E9" s="54"/>
      <c r="F9" s="54"/>
      <c r="G9" s="54"/>
      <c r="H9" s="54"/>
      <c r="I9" s="54"/>
      <c r="J9" s="57"/>
      <c r="K9" s="54"/>
      <c r="L9" s="56"/>
    </row>
    <row r="10" spans="1:15" x14ac:dyDescent="0.25">
      <c r="A10" s="54"/>
      <c r="B10" s="55"/>
      <c r="C10" s="56"/>
      <c r="D10" s="56"/>
      <c r="E10" s="54"/>
      <c r="F10" s="54"/>
      <c r="G10" s="54"/>
      <c r="H10" s="54"/>
      <c r="I10" s="54"/>
      <c r="J10" s="57"/>
      <c r="K10" s="54"/>
      <c r="L10" s="56"/>
    </row>
    <row r="11" spans="1:15" x14ac:dyDescent="0.25">
      <c r="A11" s="54"/>
      <c r="B11" s="55"/>
      <c r="C11" s="56"/>
      <c r="D11" s="56"/>
      <c r="E11" s="54"/>
      <c r="F11" s="54"/>
      <c r="G11" s="54"/>
      <c r="H11" s="54"/>
      <c r="I11" s="54"/>
      <c r="J11" s="57"/>
      <c r="K11" s="54"/>
      <c r="L11" s="56"/>
    </row>
    <row r="12" spans="1:15" x14ac:dyDescent="0.25">
      <c r="A12" s="54"/>
      <c r="B12" s="55"/>
      <c r="C12" s="56"/>
      <c r="D12" s="56"/>
      <c r="E12" s="54"/>
      <c r="F12" s="54"/>
      <c r="G12" s="54"/>
      <c r="H12" s="54"/>
      <c r="I12" s="54"/>
      <c r="J12" s="57"/>
      <c r="K12" s="54"/>
      <c r="L12" s="56"/>
    </row>
    <row r="13" spans="1:15" x14ac:dyDescent="0.25">
      <c r="A13" s="54"/>
      <c r="B13" s="55"/>
      <c r="C13" s="56"/>
      <c r="D13" s="56"/>
      <c r="E13" s="54"/>
      <c r="F13" s="54"/>
      <c r="G13" s="54"/>
      <c r="H13" s="54"/>
      <c r="I13" s="54"/>
      <c r="J13" s="57"/>
      <c r="K13" s="54"/>
      <c r="L13" s="56"/>
    </row>
    <row r="14" spans="1:15" x14ac:dyDescent="0.25">
      <c r="A14" s="54"/>
      <c r="B14" s="55"/>
      <c r="C14" s="56"/>
      <c r="D14" s="56"/>
      <c r="E14" s="54"/>
      <c r="F14" s="54"/>
      <c r="G14" s="54"/>
      <c r="H14" s="54"/>
      <c r="I14" s="54"/>
      <c r="J14" s="57"/>
      <c r="K14" s="54"/>
      <c r="L14" s="56"/>
    </row>
    <row r="15" spans="1:15" x14ac:dyDescent="0.25">
      <c r="A15" s="54"/>
      <c r="B15" s="55"/>
      <c r="C15" s="56"/>
      <c r="D15" s="56"/>
      <c r="E15" s="54"/>
      <c r="F15" s="54"/>
      <c r="G15" s="54"/>
      <c r="H15" s="54"/>
      <c r="I15" s="54"/>
      <c r="J15" s="57"/>
      <c r="K15" s="54"/>
      <c r="L15" s="56"/>
    </row>
    <row r="16" spans="1:15" x14ac:dyDescent="0.25">
      <c r="A16" s="54"/>
      <c r="B16" s="55"/>
      <c r="C16" s="56"/>
      <c r="D16" s="56"/>
      <c r="E16" s="54"/>
      <c r="F16" s="54"/>
      <c r="G16" s="54"/>
      <c r="H16" s="54"/>
      <c r="I16" s="54"/>
      <c r="J16" s="57"/>
      <c r="K16" s="54"/>
      <c r="L16" s="56"/>
    </row>
    <row r="17" spans="1:12" x14ac:dyDescent="0.25">
      <c r="A17" s="54"/>
      <c r="B17" s="55"/>
      <c r="C17" s="56"/>
      <c r="D17" s="56"/>
      <c r="E17" s="54"/>
      <c r="F17" s="54"/>
      <c r="G17" s="54"/>
      <c r="H17" s="54"/>
      <c r="I17" s="54"/>
      <c r="J17" s="57"/>
      <c r="K17" s="54"/>
      <c r="L17" s="56"/>
    </row>
    <row r="18" spans="1:12" x14ac:dyDescent="0.25">
      <c r="A18" s="54"/>
      <c r="B18" s="55"/>
      <c r="C18" s="56"/>
      <c r="D18" s="56"/>
      <c r="E18" s="54"/>
      <c r="F18" s="54"/>
      <c r="G18" s="54"/>
      <c r="H18" s="54"/>
      <c r="I18" s="54"/>
      <c r="J18" s="57"/>
      <c r="K18" s="54"/>
      <c r="L18" s="56"/>
    </row>
    <row r="19" spans="1:12" x14ac:dyDescent="0.25">
      <c r="A19" s="54"/>
      <c r="B19" s="55"/>
      <c r="C19" s="56"/>
      <c r="D19" s="56"/>
      <c r="E19" s="54"/>
      <c r="F19" s="54"/>
      <c r="G19" s="54"/>
      <c r="H19" s="54"/>
      <c r="I19" s="54"/>
      <c r="J19" s="57"/>
      <c r="K19" s="54"/>
      <c r="L19" s="56"/>
    </row>
    <row r="20" spans="1:12" x14ac:dyDescent="0.25">
      <c r="A20" s="54"/>
      <c r="B20" s="55"/>
      <c r="C20" s="56"/>
      <c r="D20" s="56"/>
      <c r="E20" s="54"/>
      <c r="F20" s="54"/>
      <c r="G20" s="54"/>
      <c r="H20" s="54"/>
      <c r="I20" s="54"/>
      <c r="J20" s="57"/>
      <c r="K20" s="54"/>
      <c r="L20" s="56"/>
    </row>
    <row r="21" spans="1:12" x14ac:dyDescent="0.25">
      <c r="A21" s="54"/>
      <c r="B21" s="55"/>
      <c r="C21" s="56"/>
      <c r="D21" s="56"/>
      <c r="E21" s="54"/>
      <c r="F21" s="54"/>
      <c r="G21" s="54"/>
      <c r="H21" s="54"/>
      <c r="I21" s="54"/>
      <c r="J21" s="57"/>
      <c r="K21" s="54"/>
      <c r="L21" s="56"/>
    </row>
    <row r="22" spans="1:12" x14ac:dyDescent="0.25">
      <c r="A22" s="54"/>
      <c r="B22" s="55"/>
      <c r="C22" s="56"/>
      <c r="D22" s="56"/>
      <c r="E22" s="54"/>
      <c r="F22" s="54"/>
      <c r="G22" s="54"/>
      <c r="H22" s="54"/>
      <c r="I22" s="54"/>
      <c r="J22" s="57"/>
      <c r="K22" s="54"/>
      <c r="L22" s="56"/>
    </row>
    <row r="23" spans="1:12" x14ac:dyDescent="0.25">
      <c r="A23" s="54"/>
      <c r="B23" s="55"/>
      <c r="C23" s="56"/>
      <c r="D23" s="56"/>
      <c r="E23" s="54"/>
      <c r="F23" s="54"/>
      <c r="G23" s="54"/>
      <c r="H23" s="54"/>
      <c r="I23" s="54"/>
      <c r="J23" s="57"/>
      <c r="K23" s="54"/>
      <c r="L23" s="56"/>
    </row>
    <row r="24" spans="1:12" x14ac:dyDescent="0.25">
      <c r="A24" s="54"/>
      <c r="B24" s="55"/>
      <c r="C24" s="56"/>
      <c r="D24" s="56"/>
      <c r="E24" s="54"/>
      <c r="F24" s="54"/>
      <c r="G24" s="54"/>
      <c r="H24" s="54"/>
      <c r="I24" s="54"/>
      <c r="J24" s="57"/>
      <c r="K24" s="54"/>
      <c r="L24" s="56"/>
    </row>
    <row r="25" spans="1:12" x14ac:dyDescent="0.25">
      <c r="A25" s="54"/>
      <c r="B25" s="55"/>
      <c r="C25" s="56"/>
      <c r="D25" s="56"/>
      <c r="E25" s="54"/>
      <c r="F25" s="54"/>
      <c r="G25" s="54"/>
      <c r="H25" s="54"/>
      <c r="I25" s="54"/>
      <c r="J25" s="57"/>
      <c r="K25" s="54"/>
      <c r="L25" s="56"/>
    </row>
    <row r="26" spans="1:12" x14ac:dyDescent="0.25">
      <c r="A26" s="54"/>
      <c r="B26" s="55"/>
      <c r="C26" s="56"/>
      <c r="D26" s="56"/>
      <c r="E26" s="54"/>
      <c r="F26" s="54"/>
      <c r="G26" s="54"/>
      <c r="H26" s="54"/>
      <c r="I26" s="54"/>
      <c r="J26" s="57"/>
      <c r="K26" s="54"/>
      <c r="L26" s="56"/>
    </row>
    <row r="27" spans="1:12" x14ac:dyDescent="0.25">
      <c r="A27" s="54"/>
      <c r="B27" s="55"/>
      <c r="C27" s="56"/>
      <c r="D27" s="56"/>
      <c r="E27" s="54"/>
      <c r="F27" s="54"/>
      <c r="G27" s="54"/>
      <c r="H27" s="54"/>
      <c r="I27" s="54"/>
      <c r="J27" s="57"/>
      <c r="K27" s="54"/>
      <c r="L27" s="56"/>
    </row>
    <row r="28" spans="1:12" x14ac:dyDescent="0.25">
      <c r="A28" s="54"/>
      <c r="B28" s="55"/>
      <c r="C28" s="56"/>
      <c r="D28" s="56"/>
      <c r="E28" s="54"/>
      <c r="F28" s="54"/>
      <c r="G28" s="54"/>
      <c r="H28" s="54"/>
      <c r="I28" s="54"/>
      <c r="J28" s="57"/>
      <c r="K28" s="54"/>
      <c r="L28" s="56"/>
    </row>
    <row r="29" spans="1:12" x14ac:dyDescent="0.25">
      <c r="A29" s="54"/>
      <c r="B29" s="55"/>
      <c r="C29" s="56"/>
      <c r="D29" s="56"/>
      <c r="E29" s="54"/>
      <c r="F29" s="54"/>
      <c r="G29" s="54"/>
      <c r="H29" s="54"/>
      <c r="I29" s="54"/>
      <c r="J29" s="57"/>
      <c r="K29" s="54"/>
      <c r="L29" s="56"/>
    </row>
    <row r="30" spans="1:12" x14ac:dyDescent="0.25">
      <c r="A30" s="54"/>
      <c r="B30" s="55"/>
      <c r="C30" s="56"/>
      <c r="D30" s="56"/>
      <c r="E30" s="54"/>
      <c r="F30" s="54"/>
      <c r="G30" s="54"/>
      <c r="H30" s="54"/>
      <c r="I30" s="54"/>
      <c r="J30" s="57"/>
      <c r="K30" s="54"/>
      <c r="L30" s="56"/>
    </row>
    <row r="31" spans="1:12" x14ac:dyDescent="0.25">
      <c r="A31" s="54"/>
      <c r="B31" s="55"/>
      <c r="C31" s="56"/>
      <c r="D31" s="56"/>
      <c r="E31" s="54"/>
      <c r="F31" s="54"/>
      <c r="G31" s="54"/>
      <c r="H31" s="54"/>
      <c r="I31" s="54"/>
      <c r="J31" s="57"/>
      <c r="K31" s="54"/>
      <c r="L31" s="56"/>
    </row>
    <row r="32" spans="1:12" x14ac:dyDescent="0.25">
      <c r="A32" s="54"/>
      <c r="B32" s="55"/>
      <c r="C32" s="56"/>
      <c r="D32" s="56"/>
      <c r="E32" s="54"/>
      <c r="F32" s="54"/>
      <c r="G32" s="54"/>
      <c r="H32" s="54"/>
      <c r="I32" s="54"/>
      <c r="J32" s="57"/>
      <c r="K32" s="54"/>
      <c r="L32" s="56"/>
    </row>
    <row r="33" spans="1:12" x14ac:dyDescent="0.25">
      <c r="A33" s="54"/>
      <c r="B33" s="55"/>
      <c r="C33" s="56"/>
      <c r="D33" s="56"/>
      <c r="E33" s="54"/>
      <c r="F33" s="54"/>
      <c r="G33" s="54"/>
      <c r="H33" s="54"/>
      <c r="I33" s="54"/>
      <c r="J33" s="57"/>
      <c r="K33" s="54"/>
      <c r="L33" s="56"/>
    </row>
    <row r="34" spans="1:12" x14ac:dyDescent="0.25">
      <c r="A34" s="54"/>
      <c r="B34" s="55"/>
      <c r="C34" s="56"/>
      <c r="D34" s="56"/>
      <c r="E34" s="54"/>
      <c r="F34" s="54"/>
      <c r="G34" s="54"/>
      <c r="H34" s="54"/>
      <c r="I34" s="54"/>
      <c r="J34" s="57"/>
      <c r="K34" s="54"/>
      <c r="L34" s="56"/>
    </row>
    <row r="35" spans="1:12" x14ac:dyDescent="0.25">
      <c r="A35" s="54"/>
      <c r="B35" s="55"/>
      <c r="C35" s="56"/>
      <c r="D35" s="56"/>
      <c r="E35" s="54"/>
      <c r="F35" s="54"/>
      <c r="G35" s="54"/>
      <c r="H35" s="54"/>
      <c r="I35" s="54"/>
      <c r="J35" s="57"/>
      <c r="K35" s="54"/>
      <c r="L35" s="56"/>
    </row>
    <row r="36" spans="1:12" x14ac:dyDescent="0.25">
      <c r="A36" s="54"/>
      <c r="B36" s="55"/>
      <c r="C36" s="56"/>
      <c r="D36" s="56"/>
      <c r="E36" s="54"/>
      <c r="F36" s="54"/>
      <c r="G36" s="54"/>
      <c r="H36" s="54"/>
      <c r="I36" s="54"/>
      <c r="J36" s="57"/>
      <c r="K36" s="54"/>
      <c r="L36" s="56"/>
    </row>
    <row r="37" spans="1:12" x14ac:dyDescent="0.25">
      <c r="A37" s="54"/>
      <c r="B37" s="55"/>
      <c r="C37" s="56"/>
      <c r="D37" s="56"/>
      <c r="E37" s="54"/>
      <c r="F37" s="54"/>
      <c r="G37" s="54"/>
      <c r="H37" s="54"/>
      <c r="I37" s="54"/>
      <c r="J37" s="57"/>
      <c r="K37" s="54"/>
      <c r="L37" s="56"/>
    </row>
    <row r="38" spans="1:12" x14ac:dyDescent="0.25">
      <c r="A38" s="54"/>
      <c r="B38" s="55"/>
      <c r="C38" s="56"/>
      <c r="D38" s="56"/>
      <c r="E38" s="54"/>
      <c r="F38" s="54"/>
      <c r="G38" s="54"/>
      <c r="H38" s="54"/>
      <c r="I38" s="54"/>
      <c r="J38" s="57"/>
      <c r="K38" s="54"/>
      <c r="L38" s="56"/>
    </row>
    <row r="39" spans="1:12" x14ac:dyDescent="0.25">
      <c r="A39" s="54"/>
      <c r="B39" s="55"/>
      <c r="C39" s="56"/>
      <c r="D39" s="56"/>
      <c r="E39" s="54"/>
      <c r="F39" s="54"/>
      <c r="G39" s="54"/>
      <c r="H39" s="54"/>
      <c r="I39" s="54"/>
      <c r="J39" s="57"/>
      <c r="K39" s="54"/>
      <c r="L39" s="56"/>
    </row>
    <row r="40" spans="1:12" x14ac:dyDescent="0.25">
      <c r="A40" s="54"/>
      <c r="B40" s="55"/>
      <c r="C40" s="56"/>
      <c r="D40" s="56"/>
      <c r="E40" s="54"/>
      <c r="F40" s="54"/>
      <c r="G40" s="54"/>
      <c r="H40" s="54"/>
      <c r="I40" s="54"/>
      <c r="J40" s="57"/>
      <c r="K40" s="54"/>
      <c r="L40" s="56"/>
    </row>
    <row r="41" spans="1:12" x14ac:dyDescent="0.25">
      <c r="A41" s="54"/>
      <c r="B41" s="55"/>
      <c r="C41" s="56"/>
      <c r="D41" s="56"/>
      <c r="E41" s="54"/>
      <c r="F41" s="54"/>
      <c r="G41" s="54"/>
      <c r="H41" s="54"/>
      <c r="I41" s="54"/>
      <c r="J41" s="57"/>
      <c r="K41" s="54"/>
      <c r="L41" s="56"/>
    </row>
    <row r="42" spans="1:12" x14ac:dyDescent="0.25">
      <c r="A42" s="54"/>
      <c r="B42" s="55"/>
      <c r="C42" s="56"/>
      <c r="D42" s="56"/>
      <c r="E42" s="54"/>
      <c r="F42" s="54"/>
      <c r="G42" s="54"/>
      <c r="H42" s="54"/>
      <c r="I42" s="54"/>
      <c r="J42" s="57"/>
      <c r="K42" s="54"/>
      <c r="L42" s="56"/>
    </row>
    <row r="43" spans="1:12" x14ac:dyDescent="0.25">
      <c r="A43" s="54"/>
      <c r="B43" s="55"/>
      <c r="C43" s="56"/>
      <c r="D43" s="56"/>
      <c r="E43" s="54"/>
      <c r="F43" s="54"/>
      <c r="G43" s="54"/>
      <c r="H43" s="54"/>
      <c r="I43" s="54"/>
      <c r="J43" s="57"/>
      <c r="K43" s="54"/>
      <c r="L43" s="56"/>
    </row>
    <row r="44" spans="1:12" x14ac:dyDescent="0.25">
      <c r="A44" s="54"/>
      <c r="B44" s="55"/>
      <c r="C44" s="56"/>
      <c r="D44" s="56"/>
      <c r="E44" s="54"/>
      <c r="F44" s="54"/>
      <c r="G44" s="54"/>
      <c r="H44" s="54"/>
      <c r="I44" s="54"/>
      <c r="J44" s="57"/>
      <c r="K44" s="54"/>
      <c r="L44" s="56"/>
    </row>
    <row r="45" spans="1:12" x14ac:dyDescent="0.25">
      <c r="A45" s="54"/>
      <c r="B45" s="55"/>
      <c r="C45" s="56"/>
      <c r="D45" s="56"/>
      <c r="E45" s="54"/>
      <c r="F45" s="54"/>
      <c r="G45" s="54"/>
      <c r="H45" s="54"/>
      <c r="I45" s="54"/>
      <c r="J45" s="57"/>
      <c r="K45" s="54"/>
      <c r="L45" s="56"/>
    </row>
    <row r="46" spans="1:12" x14ac:dyDescent="0.25">
      <c r="A46" s="54"/>
      <c r="B46" s="55"/>
      <c r="C46" s="56"/>
      <c r="D46" s="56"/>
      <c r="E46" s="54"/>
      <c r="F46" s="54"/>
      <c r="G46" s="54"/>
      <c r="H46" s="54"/>
      <c r="I46" s="54"/>
      <c r="J46" s="57"/>
      <c r="K46" s="54"/>
      <c r="L46" s="56"/>
    </row>
    <row r="47" spans="1:12" x14ac:dyDescent="0.25">
      <c r="A47" s="54"/>
      <c r="B47" s="55"/>
      <c r="C47" s="56"/>
      <c r="D47" s="56"/>
      <c r="E47" s="54"/>
      <c r="F47" s="54"/>
      <c r="G47" s="54"/>
      <c r="H47" s="54"/>
      <c r="I47" s="54"/>
      <c r="J47" s="57"/>
      <c r="K47" s="54"/>
      <c r="L47" s="56"/>
    </row>
    <row r="48" spans="1:12" x14ac:dyDescent="0.25">
      <c r="A48" s="54"/>
      <c r="B48" s="55"/>
      <c r="C48" s="56"/>
      <c r="D48" s="56"/>
      <c r="E48" s="54"/>
      <c r="F48" s="54"/>
      <c r="G48" s="54"/>
      <c r="H48" s="54"/>
      <c r="I48" s="54"/>
      <c r="J48" s="57"/>
      <c r="K48" s="54"/>
      <c r="L48" s="56"/>
    </row>
    <row r="49" spans="1:12" x14ac:dyDescent="0.25">
      <c r="A49" s="54"/>
      <c r="B49" s="55"/>
      <c r="C49" s="56"/>
      <c r="D49" s="56"/>
      <c r="E49" s="54"/>
      <c r="F49" s="54"/>
      <c r="G49" s="54"/>
      <c r="H49" s="54"/>
      <c r="I49" s="54"/>
      <c r="J49" s="57"/>
      <c r="K49" s="54"/>
      <c r="L49" s="56"/>
    </row>
    <row r="50" spans="1:12" x14ac:dyDescent="0.25">
      <c r="A50" s="54"/>
      <c r="B50" s="55"/>
      <c r="C50" s="56"/>
      <c r="D50" s="56"/>
      <c r="E50" s="54"/>
      <c r="F50" s="54"/>
      <c r="G50" s="54"/>
      <c r="H50" s="54"/>
      <c r="I50" s="54"/>
      <c r="J50" s="57"/>
      <c r="K50" s="54"/>
      <c r="L50" s="56"/>
    </row>
    <row r="51" spans="1:12" x14ac:dyDescent="0.25">
      <c r="A51" s="54"/>
      <c r="B51" s="55"/>
      <c r="C51" s="56"/>
      <c r="D51" s="56"/>
      <c r="E51" s="54"/>
      <c r="F51" s="54"/>
      <c r="G51" s="54"/>
      <c r="H51" s="54"/>
      <c r="I51" s="54"/>
      <c r="J51" s="57"/>
      <c r="K51" s="54"/>
      <c r="L51" s="56"/>
    </row>
    <row r="52" spans="1:12" x14ac:dyDescent="0.25">
      <c r="A52" s="54"/>
      <c r="B52" s="55"/>
      <c r="C52" s="56"/>
      <c r="D52" s="56"/>
      <c r="E52" s="54"/>
      <c r="F52" s="54"/>
      <c r="G52" s="54"/>
      <c r="H52" s="54"/>
      <c r="I52" s="54"/>
      <c r="J52" s="57"/>
      <c r="K52" s="54"/>
      <c r="L52" s="56"/>
    </row>
    <row r="53" spans="1:12" x14ac:dyDescent="0.25">
      <c r="A53" s="54"/>
      <c r="B53" s="55"/>
      <c r="C53" s="56"/>
      <c r="D53" s="56"/>
      <c r="E53" s="54"/>
      <c r="F53" s="54"/>
      <c r="G53" s="54"/>
      <c r="H53" s="54"/>
      <c r="I53" s="54"/>
      <c r="J53" s="57"/>
      <c r="K53" s="54"/>
      <c r="L53" s="56"/>
    </row>
    <row r="54" spans="1:12" x14ac:dyDescent="0.25">
      <c r="A54" s="54"/>
      <c r="B54" s="55"/>
      <c r="C54" s="56"/>
      <c r="D54" s="56"/>
      <c r="E54" s="54"/>
      <c r="F54" s="54"/>
      <c r="G54" s="54"/>
      <c r="H54" s="54"/>
      <c r="I54" s="54"/>
      <c r="J54" s="57"/>
      <c r="K54" s="54"/>
      <c r="L54" s="56"/>
    </row>
    <row r="55" spans="1:12" x14ac:dyDescent="0.25">
      <c r="A55" s="54"/>
      <c r="B55" s="55"/>
      <c r="C55" s="56"/>
      <c r="D55" s="56"/>
      <c r="E55" s="54"/>
      <c r="F55" s="54"/>
      <c r="G55" s="54"/>
      <c r="H55" s="54"/>
      <c r="I55" s="54"/>
      <c r="J55" s="57"/>
      <c r="K55" s="54"/>
      <c r="L55" s="56"/>
    </row>
    <row r="56" spans="1:12" x14ac:dyDescent="0.25">
      <c r="A56" s="54"/>
      <c r="B56" s="55"/>
      <c r="C56" s="56"/>
      <c r="D56" s="56"/>
      <c r="E56" s="54"/>
      <c r="F56" s="54"/>
      <c r="G56" s="54"/>
      <c r="H56" s="54"/>
      <c r="I56" s="54"/>
      <c r="J56" s="57"/>
      <c r="K56" s="54"/>
      <c r="L56" s="56"/>
    </row>
    <row r="57" spans="1:12" x14ac:dyDescent="0.25">
      <c r="A57" s="54"/>
      <c r="B57" s="55"/>
      <c r="C57" s="56"/>
      <c r="D57" s="56"/>
      <c r="E57" s="54"/>
      <c r="F57" s="54"/>
      <c r="G57" s="54"/>
      <c r="H57" s="54"/>
      <c r="I57" s="54"/>
      <c r="J57" s="57"/>
      <c r="K57" s="54"/>
      <c r="L57" s="56"/>
    </row>
    <row r="58" spans="1:12" x14ac:dyDescent="0.25">
      <c r="A58" s="54"/>
      <c r="B58" s="55"/>
      <c r="C58" s="56"/>
      <c r="D58" s="56"/>
      <c r="E58" s="54"/>
      <c r="F58" s="54"/>
      <c r="G58" s="54"/>
      <c r="H58" s="54"/>
      <c r="I58" s="54"/>
      <c r="J58" s="57"/>
      <c r="K58" s="54"/>
      <c r="L58" s="56"/>
    </row>
    <row r="59" spans="1:12" x14ac:dyDescent="0.25">
      <c r="A59" s="54"/>
      <c r="B59" s="55"/>
      <c r="C59" s="56"/>
      <c r="D59" s="56"/>
      <c r="E59" s="54"/>
      <c r="F59" s="54"/>
      <c r="G59" s="54"/>
      <c r="H59" s="54"/>
      <c r="I59" s="54"/>
      <c r="J59" s="57"/>
      <c r="K59" s="54"/>
      <c r="L59" s="56"/>
    </row>
    <row r="60" spans="1:12" x14ac:dyDescent="0.25">
      <c r="A60" s="54"/>
      <c r="B60" s="55"/>
      <c r="C60" s="56"/>
      <c r="D60" s="56"/>
      <c r="E60" s="54"/>
      <c r="F60" s="54"/>
      <c r="G60" s="54"/>
      <c r="H60" s="54"/>
      <c r="I60" s="54"/>
      <c r="J60" s="57"/>
      <c r="K60" s="54"/>
      <c r="L60" s="56"/>
    </row>
    <row r="61" spans="1:12" x14ac:dyDescent="0.25">
      <c r="A61" s="54"/>
      <c r="B61" s="55"/>
      <c r="C61" s="56"/>
      <c r="D61" s="56"/>
      <c r="E61" s="54"/>
      <c r="F61" s="54"/>
      <c r="G61" s="54"/>
      <c r="H61" s="54"/>
      <c r="I61" s="54"/>
      <c r="J61" s="57"/>
      <c r="K61" s="54"/>
      <c r="L61" s="56"/>
    </row>
    <row r="62" spans="1:12" x14ac:dyDescent="0.25">
      <c r="A62" s="54"/>
      <c r="B62" s="55"/>
      <c r="C62" s="56"/>
      <c r="D62" s="56"/>
      <c r="E62" s="54"/>
      <c r="F62" s="54"/>
      <c r="G62" s="54"/>
      <c r="H62" s="54"/>
      <c r="I62" s="54"/>
      <c r="J62" s="57"/>
      <c r="K62" s="54"/>
      <c r="L62" s="56"/>
    </row>
    <row r="63" spans="1:12" x14ac:dyDescent="0.25">
      <c r="A63" s="54"/>
      <c r="B63" s="55"/>
      <c r="C63" s="56"/>
      <c r="D63" s="56"/>
      <c r="E63" s="54"/>
      <c r="F63" s="54"/>
      <c r="G63" s="54"/>
      <c r="H63" s="54"/>
      <c r="I63" s="54"/>
      <c r="J63" s="57"/>
      <c r="K63" s="54"/>
      <c r="L63" s="56"/>
    </row>
    <row r="64" spans="1:12" x14ac:dyDescent="0.25">
      <c r="A64" s="54"/>
      <c r="B64" s="55"/>
      <c r="C64" s="56"/>
      <c r="D64" s="56"/>
      <c r="E64" s="54"/>
      <c r="F64" s="54"/>
      <c r="G64" s="54"/>
      <c r="H64" s="54"/>
      <c r="I64" s="54"/>
      <c r="J64" s="57"/>
      <c r="K64" s="54"/>
      <c r="L64" s="56"/>
    </row>
    <row r="65" spans="1:12" x14ac:dyDescent="0.25">
      <c r="A65" s="54"/>
      <c r="B65" s="55"/>
      <c r="C65" s="56"/>
      <c r="D65" s="56"/>
      <c r="E65" s="54"/>
      <c r="F65" s="54"/>
      <c r="G65" s="54"/>
      <c r="H65" s="54"/>
      <c r="I65" s="54"/>
      <c r="J65" s="57"/>
      <c r="K65" s="54"/>
      <c r="L65" s="56"/>
    </row>
    <row r="66" spans="1:12" x14ac:dyDescent="0.25">
      <c r="A66" s="54"/>
      <c r="B66" s="55"/>
      <c r="C66" s="56"/>
      <c r="D66" s="56"/>
      <c r="E66" s="54"/>
      <c r="F66" s="54"/>
      <c r="G66" s="54"/>
      <c r="H66" s="54"/>
      <c r="I66" s="54"/>
      <c r="J66" s="57"/>
      <c r="K66" s="54"/>
      <c r="L66" s="56"/>
    </row>
    <row r="67" spans="1:12" x14ac:dyDescent="0.25">
      <c r="A67" s="54"/>
      <c r="B67" s="55"/>
      <c r="C67" s="56"/>
      <c r="D67" s="56"/>
      <c r="E67" s="54"/>
      <c r="F67" s="54"/>
      <c r="G67" s="54"/>
      <c r="H67" s="54"/>
      <c r="I67" s="54"/>
      <c r="J67" s="57"/>
      <c r="K67" s="54"/>
      <c r="L67" s="56"/>
    </row>
    <row r="68" spans="1:12" x14ac:dyDescent="0.25">
      <c r="A68" s="54"/>
      <c r="B68" s="55"/>
      <c r="C68" s="56"/>
      <c r="D68" s="56"/>
      <c r="E68" s="54"/>
      <c r="F68" s="54"/>
      <c r="G68" s="54"/>
      <c r="H68" s="54"/>
      <c r="I68" s="54"/>
      <c r="J68" s="57"/>
      <c r="K68" s="54"/>
      <c r="L68" s="56"/>
    </row>
    <row r="69" spans="1:12" x14ac:dyDescent="0.25">
      <c r="A69" s="54"/>
      <c r="B69" s="55"/>
      <c r="C69" s="56"/>
      <c r="D69" s="56"/>
      <c r="E69" s="54"/>
      <c r="F69" s="54"/>
      <c r="G69" s="54"/>
      <c r="H69" s="54"/>
      <c r="I69" s="54"/>
      <c r="J69" s="57"/>
      <c r="K69" s="54"/>
      <c r="L69" s="56"/>
    </row>
    <row r="70" spans="1:12" x14ac:dyDescent="0.25">
      <c r="A70" s="54"/>
      <c r="B70" s="55"/>
      <c r="C70" s="56"/>
      <c r="D70" s="56"/>
      <c r="E70" s="54"/>
      <c r="F70" s="54"/>
      <c r="G70" s="54"/>
      <c r="H70" s="54"/>
      <c r="I70" s="54"/>
      <c r="J70" s="57"/>
      <c r="K70" s="54"/>
      <c r="L70" s="56"/>
    </row>
    <row r="71" spans="1:12" x14ac:dyDescent="0.25">
      <c r="A71" s="54"/>
      <c r="B71" s="55"/>
      <c r="C71" s="56"/>
      <c r="D71" s="56"/>
      <c r="E71" s="54"/>
      <c r="F71" s="54"/>
      <c r="G71" s="54"/>
      <c r="H71" s="54"/>
      <c r="I71" s="54"/>
      <c r="J71" s="57"/>
      <c r="K71" s="54"/>
      <c r="L71" s="56"/>
    </row>
    <row r="72" spans="1:12" x14ac:dyDescent="0.25">
      <c r="A72" s="54"/>
      <c r="B72" s="55"/>
      <c r="C72" s="56"/>
      <c r="D72" s="56"/>
      <c r="E72" s="54"/>
      <c r="F72" s="54"/>
      <c r="G72" s="54"/>
      <c r="H72" s="54"/>
      <c r="I72" s="54"/>
      <c r="J72" s="57"/>
      <c r="K72" s="54"/>
      <c r="L72" s="56"/>
    </row>
    <row r="73" spans="1:12" x14ac:dyDescent="0.25">
      <c r="A73" s="54"/>
      <c r="B73" s="55"/>
      <c r="C73" s="56"/>
      <c r="D73" s="56"/>
      <c r="E73" s="54"/>
      <c r="F73" s="54"/>
      <c r="G73" s="54"/>
      <c r="H73" s="54"/>
      <c r="I73" s="54"/>
      <c r="J73" s="57"/>
      <c r="K73" s="54"/>
      <c r="L73" s="56"/>
    </row>
    <row r="74" spans="1:12" x14ac:dyDescent="0.25">
      <c r="A74" s="54"/>
      <c r="B74" s="55"/>
      <c r="C74" s="56"/>
      <c r="D74" s="56"/>
      <c r="E74" s="54"/>
      <c r="F74" s="54"/>
      <c r="G74" s="54"/>
      <c r="H74" s="54"/>
      <c r="I74" s="54"/>
      <c r="J74" s="57"/>
      <c r="K74" s="54"/>
      <c r="L74" s="56"/>
    </row>
    <row r="75" spans="1:12" x14ac:dyDescent="0.25">
      <c r="A75" s="54"/>
      <c r="B75" s="55"/>
      <c r="C75" s="56"/>
      <c r="D75" s="56"/>
      <c r="E75" s="54"/>
      <c r="F75" s="54"/>
      <c r="G75" s="54"/>
      <c r="H75" s="54"/>
      <c r="I75" s="54"/>
      <c r="J75" s="57"/>
      <c r="K75" s="54"/>
      <c r="L75" s="56"/>
    </row>
    <row r="76" spans="1:12" x14ac:dyDescent="0.25">
      <c r="A76" s="54"/>
      <c r="B76" s="55"/>
      <c r="C76" s="56"/>
      <c r="D76" s="56"/>
      <c r="E76" s="54"/>
      <c r="F76" s="54"/>
      <c r="G76" s="54"/>
      <c r="H76" s="54"/>
      <c r="I76" s="54"/>
      <c r="J76" s="57"/>
      <c r="K76" s="54"/>
      <c r="L76" s="56"/>
    </row>
    <row r="77" spans="1:12" x14ac:dyDescent="0.25">
      <c r="A77" s="54"/>
      <c r="B77" s="55"/>
      <c r="C77" s="56"/>
      <c r="D77" s="56"/>
      <c r="E77" s="54"/>
      <c r="F77" s="54"/>
      <c r="G77" s="54"/>
      <c r="H77" s="54"/>
      <c r="I77" s="54"/>
      <c r="J77" s="57"/>
      <c r="K77" s="54"/>
      <c r="L77" s="56"/>
    </row>
    <row r="78" spans="1:12" x14ac:dyDescent="0.25">
      <c r="A78" s="54"/>
      <c r="B78" s="55"/>
      <c r="C78" s="56"/>
      <c r="D78" s="56"/>
      <c r="E78" s="54"/>
      <c r="F78" s="54"/>
      <c r="G78" s="54"/>
      <c r="H78" s="54"/>
      <c r="I78" s="54"/>
      <c r="J78" s="57"/>
      <c r="K78" s="54"/>
      <c r="L78" s="56"/>
    </row>
    <row r="79" spans="1:12" x14ac:dyDescent="0.25">
      <c r="A79" s="54"/>
      <c r="B79" s="55"/>
      <c r="C79" s="56"/>
      <c r="D79" s="56"/>
      <c r="E79" s="54"/>
      <c r="F79" s="54"/>
      <c r="G79" s="54"/>
      <c r="H79" s="54"/>
      <c r="I79" s="54"/>
      <c r="J79" s="57"/>
      <c r="K79" s="54"/>
      <c r="L79" s="56"/>
    </row>
    <row r="80" spans="1:12" x14ac:dyDescent="0.25">
      <c r="A80" s="54"/>
      <c r="B80" s="55"/>
      <c r="C80" s="56"/>
      <c r="D80" s="56"/>
      <c r="E80" s="54"/>
      <c r="F80" s="54"/>
      <c r="G80" s="54"/>
      <c r="H80" s="54"/>
      <c r="I80" s="54"/>
      <c r="J80" s="57"/>
      <c r="K80" s="54"/>
      <c r="L80" s="56"/>
    </row>
    <row r="81" spans="1:12" x14ac:dyDescent="0.25">
      <c r="A81" s="54"/>
      <c r="B81" s="55"/>
      <c r="C81" s="56"/>
      <c r="D81" s="56"/>
      <c r="E81" s="54"/>
      <c r="F81" s="54"/>
      <c r="G81" s="54"/>
      <c r="H81" s="54"/>
      <c r="I81" s="54"/>
      <c r="J81" s="57"/>
      <c r="K81" s="54"/>
      <c r="L81" s="56"/>
    </row>
    <row r="82" spans="1:12" x14ac:dyDescent="0.25">
      <c r="A82" s="54"/>
      <c r="B82" s="55"/>
      <c r="C82" s="56"/>
      <c r="D82" s="56"/>
      <c r="E82" s="54"/>
      <c r="F82" s="54"/>
      <c r="G82" s="54"/>
      <c r="H82" s="54"/>
      <c r="I82" s="54"/>
      <c r="J82" s="57"/>
      <c r="K82" s="54"/>
      <c r="L82" s="56"/>
    </row>
    <row r="83" spans="1:12" x14ac:dyDescent="0.25">
      <c r="A83" s="54"/>
      <c r="B83" s="55"/>
      <c r="C83" s="56"/>
      <c r="D83" s="56"/>
      <c r="E83" s="54"/>
      <c r="F83" s="54"/>
      <c r="G83" s="54"/>
      <c r="H83" s="54"/>
      <c r="I83" s="54"/>
      <c r="J83" s="57"/>
      <c r="K83" s="54"/>
      <c r="L83" s="56"/>
    </row>
    <row r="84" spans="1:12" x14ac:dyDescent="0.25">
      <c r="A84" s="54"/>
      <c r="B84" s="55"/>
      <c r="C84" s="56"/>
      <c r="D84" s="56"/>
      <c r="E84" s="54"/>
      <c r="F84" s="54"/>
      <c r="G84" s="54"/>
      <c r="H84" s="54"/>
      <c r="I84" s="54"/>
      <c r="J84" s="57"/>
      <c r="K84" s="54"/>
      <c r="L84" s="56"/>
    </row>
    <row r="85" spans="1:12" x14ac:dyDescent="0.25">
      <c r="A85" s="54"/>
      <c r="B85" s="55"/>
      <c r="C85" s="56"/>
      <c r="D85" s="56"/>
      <c r="E85" s="54"/>
      <c r="F85" s="54"/>
      <c r="G85" s="54"/>
      <c r="H85" s="54"/>
      <c r="I85" s="54"/>
      <c r="J85" s="57"/>
      <c r="K85" s="54"/>
      <c r="L85" s="56"/>
    </row>
    <row r="86" spans="1:12" x14ac:dyDescent="0.25">
      <c r="A86" s="54"/>
      <c r="B86" s="55"/>
      <c r="C86" s="56"/>
      <c r="D86" s="56"/>
      <c r="E86" s="54"/>
      <c r="F86" s="54"/>
      <c r="G86" s="54"/>
      <c r="H86" s="54"/>
      <c r="I86" s="54"/>
      <c r="J86" s="57"/>
      <c r="K86" s="54"/>
      <c r="L86" s="56"/>
    </row>
    <row r="87" spans="1:12" x14ac:dyDescent="0.25">
      <c r="A87" s="54"/>
      <c r="B87" s="55"/>
      <c r="C87" s="56"/>
      <c r="D87" s="56"/>
      <c r="E87" s="54"/>
      <c r="F87" s="54"/>
      <c r="G87" s="54"/>
      <c r="H87" s="54"/>
      <c r="I87" s="54"/>
      <c r="J87" s="57"/>
      <c r="K87" s="54"/>
      <c r="L87" s="56"/>
    </row>
    <row r="88" spans="1:12" x14ac:dyDescent="0.25">
      <c r="A88" s="54"/>
      <c r="B88" s="55"/>
      <c r="C88" s="56"/>
      <c r="D88" s="56"/>
      <c r="E88" s="54"/>
      <c r="F88" s="54"/>
      <c r="G88" s="54"/>
      <c r="H88" s="54"/>
      <c r="I88" s="54"/>
      <c r="J88" s="57"/>
      <c r="K88" s="54"/>
      <c r="L88" s="56"/>
    </row>
    <row r="89" spans="1:12" x14ac:dyDescent="0.25">
      <c r="A89" s="54"/>
      <c r="B89" s="55"/>
      <c r="C89" s="56"/>
      <c r="D89" s="56"/>
      <c r="E89" s="54"/>
      <c r="F89" s="54"/>
      <c r="G89" s="54"/>
      <c r="H89" s="54"/>
      <c r="I89" s="54"/>
      <c r="J89" s="57"/>
      <c r="K89" s="54"/>
      <c r="L89" s="56"/>
    </row>
    <row r="90" spans="1:12" x14ac:dyDescent="0.25">
      <c r="A90" s="54"/>
      <c r="B90" s="55"/>
      <c r="C90" s="56"/>
      <c r="D90" s="56"/>
      <c r="E90" s="54"/>
      <c r="F90" s="54"/>
      <c r="G90" s="54"/>
      <c r="H90" s="54"/>
      <c r="I90" s="54"/>
      <c r="J90" s="57"/>
      <c r="K90" s="54"/>
      <c r="L90" s="56"/>
    </row>
    <row r="91" spans="1:12" x14ac:dyDescent="0.25">
      <c r="A91" s="54"/>
      <c r="B91" s="55"/>
      <c r="C91" s="56"/>
      <c r="D91" s="56"/>
      <c r="E91" s="54"/>
      <c r="F91" s="54"/>
      <c r="G91" s="54"/>
      <c r="H91" s="54"/>
      <c r="I91" s="54"/>
      <c r="J91" s="57"/>
      <c r="K91" s="54"/>
      <c r="L91" s="56"/>
    </row>
    <row r="92" spans="1:12" x14ac:dyDescent="0.25">
      <c r="A92" s="54"/>
      <c r="B92" s="55"/>
      <c r="C92" s="56"/>
      <c r="D92" s="56"/>
      <c r="E92" s="54"/>
      <c r="F92" s="54"/>
      <c r="G92" s="54"/>
      <c r="H92" s="54"/>
      <c r="I92" s="54"/>
      <c r="J92" s="57"/>
      <c r="K92" s="54"/>
      <c r="L92" s="56"/>
    </row>
    <row r="93" spans="1:12" x14ac:dyDescent="0.25">
      <c r="A93" s="54"/>
      <c r="B93" s="55"/>
      <c r="C93" s="56"/>
      <c r="D93" s="56"/>
      <c r="E93" s="54"/>
      <c r="F93" s="54"/>
      <c r="G93" s="54"/>
      <c r="H93" s="54"/>
      <c r="I93" s="54"/>
      <c r="J93" s="57"/>
      <c r="K93" s="54"/>
      <c r="L93" s="56"/>
    </row>
    <row r="94" spans="1:12" x14ac:dyDescent="0.25">
      <c r="A94" s="54"/>
      <c r="B94" s="55"/>
      <c r="C94" s="56"/>
      <c r="D94" s="56"/>
      <c r="E94" s="54"/>
      <c r="F94" s="54"/>
      <c r="G94" s="54"/>
      <c r="H94" s="54"/>
      <c r="I94" s="54"/>
      <c r="J94" s="57"/>
      <c r="K94" s="54"/>
      <c r="L94" s="56"/>
    </row>
    <row r="95" spans="1:12" x14ac:dyDescent="0.25">
      <c r="A95" s="54"/>
      <c r="B95" s="55"/>
      <c r="C95" s="56"/>
      <c r="D95" s="56"/>
      <c r="E95" s="54"/>
      <c r="F95" s="54"/>
      <c r="G95" s="54"/>
      <c r="H95" s="54"/>
      <c r="I95" s="54"/>
      <c r="J95" s="57"/>
      <c r="K95" s="54"/>
      <c r="L95" s="56"/>
    </row>
    <row r="96" spans="1:12" x14ac:dyDescent="0.25">
      <c r="A96" s="54"/>
      <c r="B96" s="55"/>
      <c r="C96" s="56"/>
      <c r="D96" s="56"/>
      <c r="E96" s="54"/>
      <c r="F96" s="54"/>
      <c r="G96" s="54"/>
      <c r="H96" s="54"/>
      <c r="I96" s="54"/>
      <c r="J96" s="57"/>
      <c r="K96" s="54"/>
      <c r="L96" s="56"/>
    </row>
    <row r="97" spans="1:12" x14ac:dyDescent="0.25">
      <c r="A97" s="54"/>
      <c r="B97" s="55"/>
      <c r="C97" s="56"/>
      <c r="D97" s="56"/>
      <c r="E97" s="54"/>
      <c r="F97" s="54"/>
      <c r="G97" s="54"/>
      <c r="H97" s="54"/>
      <c r="I97" s="54"/>
      <c r="J97" s="57"/>
      <c r="K97" s="54"/>
      <c r="L97" s="56"/>
    </row>
    <row r="98" spans="1:12" x14ac:dyDescent="0.25">
      <c r="A98" s="54"/>
      <c r="B98" s="55"/>
      <c r="C98" s="56"/>
      <c r="D98" s="56"/>
      <c r="E98" s="54"/>
      <c r="F98" s="54"/>
      <c r="G98" s="54"/>
      <c r="H98" s="54"/>
      <c r="I98" s="54"/>
      <c r="J98" s="57"/>
      <c r="K98" s="54"/>
      <c r="L98" s="56"/>
    </row>
    <row r="99" spans="1:12" x14ac:dyDescent="0.25">
      <c r="A99" s="54"/>
      <c r="B99" s="55"/>
      <c r="C99" s="56"/>
      <c r="D99" s="56"/>
      <c r="E99" s="54"/>
      <c r="F99" s="54"/>
      <c r="G99" s="54"/>
      <c r="H99" s="54"/>
      <c r="I99" s="54"/>
      <c r="J99" s="57"/>
      <c r="K99" s="54"/>
      <c r="L99" s="56"/>
    </row>
    <row r="100" spans="1:12" x14ac:dyDescent="0.25">
      <c r="A100" s="54"/>
      <c r="B100" s="55"/>
      <c r="C100" s="56"/>
      <c r="D100" s="56"/>
      <c r="E100" s="54"/>
      <c r="F100" s="54"/>
      <c r="G100" s="54"/>
      <c r="H100" s="54"/>
      <c r="I100" s="54"/>
      <c r="J100" s="57"/>
      <c r="K100" s="54"/>
      <c r="L100" s="56"/>
    </row>
    <row r="101" spans="1:12" x14ac:dyDescent="0.25">
      <c r="A101" s="54"/>
      <c r="B101" s="55"/>
      <c r="C101" s="56"/>
      <c r="D101" s="56"/>
      <c r="E101" s="54"/>
      <c r="F101" s="54"/>
      <c r="G101" s="54"/>
      <c r="H101" s="54"/>
      <c r="I101" s="54"/>
      <c r="J101" s="57"/>
      <c r="K101" s="54"/>
      <c r="L101" s="56"/>
    </row>
  </sheetData>
  <conditionalFormatting sqref="G2:I101">
    <cfRule type="cellIs" dxfId="1" priority="2" operator="equal">
      <formula>"Yes"</formula>
    </cfRule>
    <cfRule type="cellIs" dxfId="0" priority="3" operator="equal">
      <formula>"No"</formula>
    </cfRule>
  </conditionalFormatting>
  <dataValidations count="2">
    <dataValidation type="list" sqref="G2:I101">
      <formula1>"Yes,No"</formula1>
      <formula2>0</formula2>
    </dataValidation>
    <dataValidation type="list" sqref="J2:J101">
      <formula1>"Gemini,Qwen 2.5 (Ollama),Hugging Face"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Tasks</vt:lpstr>
      <vt:lpstr>Eval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2026-10-24T08:18:05Z</dcterms:created>
  <dcterms:modified xsi:type="dcterms:W3CDTF">2026-10-25T12:00:34Z</dcterms:modified>
  <dc:language>en-US</dc:language>
</cp:coreProperties>
</file>